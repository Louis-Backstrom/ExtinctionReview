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universityofstandrews907-my.sharepoint.com/personal/ljb38_st-andrews_ac_uk/Documents/Documents/GitHub/ExtinctionReview/"/>
    </mc:Choice>
  </mc:AlternateContent>
  <xr:revisionPtr revIDLastSave="3645" documentId="11_F25DC773A252ABDACC1048F9119F7EC45ADE58EC" xr6:coauthVersionLast="47" xr6:coauthVersionMax="47" xr10:uidLastSave="{04EC5B3D-A6C3-4F28-8229-F8DFCFBDED98}"/>
  <bookViews>
    <workbookView xWindow="-120" yWindow="-120" windowWidth="29040" windowHeight="15720" xr2:uid="{00000000-000D-0000-FFFF-FFFF00000000}"/>
  </bookViews>
  <sheets>
    <sheet name="True EDEs" sheetId="1" r:id="rId1"/>
  </sheets>
  <definedNames>
    <definedName name="_xlnm._FilterDatabase" localSheetId="0" hidden="1">'True EDEs'!$A$2:$R$50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0" i="1" l="1"/>
  <c r="S49" i="1"/>
  <c r="S48" i="1"/>
  <c r="S47" i="1"/>
  <c r="S46" i="1"/>
  <c r="S45" i="1"/>
  <c r="S44" i="1"/>
  <c r="S43" i="1"/>
  <c r="S42" i="1"/>
  <c r="S41" i="1"/>
  <c r="S39" i="1"/>
  <c r="S38" i="1"/>
  <c r="S37" i="1"/>
  <c r="S34" i="1"/>
  <c r="S33" i="1"/>
  <c r="S32" i="1"/>
  <c r="S31" i="1"/>
  <c r="S30" i="1"/>
  <c r="S28" i="1"/>
  <c r="S27" i="1"/>
  <c r="S26" i="1"/>
  <c r="S25" i="1"/>
  <c r="S22" i="1"/>
  <c r="S21" i="1"/>
  <c r="S20" i="1"/>
  <c r="S19" i="1"/>
  <c r="S18" i="1"/>
  <c r="S17" i="1"/>
  <c r="S16" i="1"/>
  <c r="S15" i="1"/>
  <c r="S14" i="1"/>
  <c r="S12" i="1"/>
  <c r="S11" i="1"/>
  <c r="S10" i="1"/>
  <c r="S8" i="1"/>
  <c r="S7" i="1"/>
  <c r="S6" i="1"/>
</calcChain>
</file>

<file path=xl/sharedStrings.xml><?xml version="1.0" encoding="utf-8"?>
<sst xmlns="http://schemas.openxmlformats.org/spreadsheetml/2006/main" count="737" uniqueCount="245">
  <si>
    <t>Year</t>
  </si>
  <si>
    <t>Title</t>
  </si>
  <si>
    <t>Authors</t>
  </si>
  <si>
    <t>Journal</t>
  </si>
  <si>
    <t>DOI</t>
  </si>
  <si>
    <t>Bibliographic Information</t>
  </si>
  <si>
    <t>Sighting Rate</t>
  </si>
  <si>
    <t>Effort</t>
  </si>
  <si>
    <t>Solow</t>
  </si>
  <si>
    <t>Inferring Extinction from Sighting Data</t>
  </si>
  <si>
    <t>10.2307/1940821</t>
  </si>
  <si>
    <t xml:space="preserve">Ecology </t>
  </si>
  <si>
    <t>Journal of Mathematical Biology</t>
  </si>
  <si>
    <t>Inferring Extinction in a Declining Population</t>
  </si>
  <si>
    <t>10.1007/Bf00160376</t>
  </si>
  <si>
    <t>10.1046/j.1523-1739.1995.09040923.x</t>
  </si>
  <si>
    <t>Burgman et al.</t>
  </si>
  <si>
    <t>Inferring Threat from Scientific Collections</t>
  </si>
  <si>
    <t>Conservation Biology</t>
  </si>
  <si>
    <t>Identifying declining and threatened species with museum data</t>
  </si>
  <si>
    <t>McCarthy</t>
  </si>
  <si>
    <t>Biological Conservation</t>
  </si>
  <si>
    <t>10.1016/S0006-3207(97)00048-7</t>
  </si>
  <si>
    <t>A nonparametric test for extinction based on a sighting record</t>
  </si>
  <si>
    <t>Solow &amp; Roberts</t>
  </si>
  <si>
    <t>Significance of sighting rate in inferring extinction and threat</t>
  </si>
  <si>
    <t>McInerny et al.</t>
  </si>
  <si>
    <t>10.1111/j.1523-1739.2006.00377.x</t>
  </si>
  <si>
    <t>Jarić &amp; Ebenhard</t>
  </si>
  <si>
    <t>A method for inferring extinction based on sighting records that change in frequency over time</t>
  </si>
  <si>
    <t>Wildlife Biology</t>
  </si>
  <si>
    <t>10.2981/09-044</t>
  </si>
  <si>
    <t>Flightless birds: when did the dodo become extinct?</t>
  </si>
  <si>
    <t>Roberts &amp; Solow</t>
  </si>
  <si>
    <t>Nature</t>
  </si>
  <si>
    <t>10.1038/426245a</t>
  </si>
  <si>
    <t>Using sighting records to declare eradication of an invasive species</t>
  </si>
  <si>
    <t>Rout et al.</t>
  </si>
  <si>
    <t>Journal of Applied Ecology</t>
  </si>
  <si>
    <t>10.1111/j.1365-2664.2008.01586.x</t>
  </si>
  <si>
    <t>Solow et al.</t>
  </si>
  <si>
    <t>Uncertain sightings and the extinction of the Ivory-billed Woodpecker</t>
  </si>
  <si>
    <t>10.1111/j.1523-1739.2011.01743.x</t>
  </si>
  <si>
    <t>Thompson et al.</t>
  </si>
  <si>
    <t>Inferring extinction risks from sighting records</t>
  </si>
  <si>
    <t>Journal of Theoretical Biology</t>
  </si>
  <si>
    <t>10.1016/j.jtbi.2013.08.023</t>
  </si>
  <si>
    <t>A simple numerical tool to infer whether a species is extinct</t>
  </si>
  <si>
    <t>Lee</t>
  </si>
  <si>
    <t>Methods in Ecology and Evolution</t>
  </si>
  <si>
    <t>10.1111/2041-210x.12227</t>
  </si>
  <si>
    <t>Solow &amp; Beet</t>
  </si>
  <si>
    <t>On uncertain sightings and inference about extinction</t>
  </si>
  <si>
    <t>10.1111/cobi.12309</t>
  </si>
  <si>
    <t>Quantifying extinction probabilities from sighting records: inference and uncertainties</t>
  </si>
  <si>
    <t>Caley &amp; Barry</t>
  </si>
  <si>
    <t>PLoS One</t>
  </si>
  <si>
    <t>10.1371/journal.pone.0095857</t>
  </si>
  <si>
    <t>Strauss &amp; Sadler</t>
  </si>
  <si>
    <t>Mathematical Geology</t>
  </si>
  <si>
    <t>10.1007/Bf00897326</t>
  </si>
  <si>
    <t>Marshall</t>
  </si>
  <si>
    <t>Confidence intervals on stratigraphic ranges with nonrandom distributions of fossil horizons</t>
  </si>
  <si>
    <t>Paleobiology</t>
  </si>
  <si>
    <t>10.1017/S0094837300016766</t>
  </si>
  <si>
    <t>Brook et al.</t>
  </si>
  <si>
    <t>Alroy</t>
  </si>
  <si>
    <t>A simple Bayesian method of inferring extinction</t>
  </si>
  <si>
    <t xml:space="preserve">Paleobiology </t>
  </si>
  <si>
    <t>10.1666/13074</t>
  </si>
  <si>
    <t>Current extinction rates of reptiles and amphibians</t>
  </si>
  <si>
    <t>Proceedings of the National Academy of Sciences</t>
  </si>
  <si>
    <t>10.1073/pnas.1508681112</t>
  </si>
  <si>
    <t>A fast re-sampling method for using reliability ratings of sightings with extinction-date estimators</t>
  </si>
  <si>
    <t>10.1002/ecy.2787</t>
  </si>
  <si>
    <t>Ecology</t>
  </si>
  <si>
    <t>Accounting for observation reliability when inferring extinction based on sighting records</t>
  </si>
  <si>
    <t>Jarić &amp; Roberts</t>
  </si>
  <si>
    <t>Biodiversity and Conservation</t>
  </si>
  <si>
    <t>10.1007/s10531-014-0749-8</t>
  </si>
  <si>
    <t>Kodikara et al.</t>
  </si>
  <si>
    <t>Inferring extinction year using a Bayesian approach</t>
  </si>
  <si>
    <t>10.1111/2041-210x.13408</t>
  </si>
  <si>
    <t>Inferring extinction date of a species using non-homogeneous Poisson processes with a change-point</t>
  </si>
  <si>
    <t>10.1111/2041-210x.13542</t>
  </si>
  <si>
    <t>Lee et al.</t>
  </si>
  <si>
    <t>Inferring extinctions from sighting records of variable reliability</t>
  </si>
  <si>
    <t>10.1111/1365-2664.12144</t>
  </si>
  <si>
    <t>A simple Bayesian method of inferring extinction: comment</t>
  </si>
  <si>
    <t>10.1890/15-0336.1</t>
  </si>
  <si>
    <t>Bayesian updating to estimate extinction from sequential observation data</t>
  </si>
  <si>
    <t>10.1016/j.biocon.2018.11.003</t>
  </si>
  <si>
    <t>Inferring extinctions II: A practical, iterative model based on records and surveys</t>
  </si>
  <si>
    <t>10.1016/j.biocon.2017.07.029</t>
  </si>
  <si>
    <t>10.1890/0012-9658(2003)084[1329:ANTFEB]2.0.CO;2</t>
  </si>
  <si>
    <t>Weiss &amp; Marshall</t>
  </si>
  <si>
    <t>The Uncertainty in the True End Point of a Fossil's Stratigraphic Range When Stratigraphic Sections Are Sampled Discretely</t>
  </si>
  <si>
    <t>10.1023/A:1007542725180</t>
  </si>
  <si>
    <t>Bradshaw et al.</t>
  </si>
  <si>
    <t>Robust estimates of extinction time in the geological record</t>
  </si>
  <si>
    <t>Quaternary Science Reviews</t>
  </si>
  <si>
    <t>10.1016/j.quascirev.2011.11.021</t>
  </si>
  <si>
    <t>Model 1</t>
  </si>
  <si>
    <t>Model 2</t>
  </si>
  <si>
    <t>Classical</t>
  </si>
  <si>
    <t>Bayesian</t>
  </si>
  <si>
    <t>Adaptive credible intervals on stratigraphic ranges when recovery potential is unknown</t>
  </si>
  <si>
    <t>Wang et al.</t>
  </si>
  <si>
    <t>10.1017/pab.2015.37</t>
  </si>
  <si>
    <t>Confidence intervals on stratigraphic ranges: partial relaxation of the assumption of randomly distributed fossil horizons</t>
  </si>
  <si>
    <t>10.1017/S0094837300012938</t>
  </si>
  <si>
    <t>McFarlane</t>
  </si>
  <si>
    <t>A Comparison of Methods for the Probabilistic Determination of Vertebrate Extinction Chronologies</t>
  </si>
  <si>
    <t>Extinctions in Near Time</t>
  </si>
  <si>
    <t>10.1007/978-1-4757-5202-1_5</t>
  </si>
  <si>
    <t>Springer &amp; Lilje</t>
  </si>
  <si>
    <t>Biostratigraphy and Gap Analysis - the Expected Sequence of Biostratigraphic Events</t>
  </si>
  <si>
    <t>Journal of Geology</t>
  </si>
  <si>
    <t>10.1086/629212</t>
  </si>
  <si>
    <t>✓</t>
  </si>
  <si>
    <t>SS89F1</t>
  </si>
  <si>
    <t>SS89B1</t>
  </si>
  <si>
    <t>SO93F1</t>
  </si>
  <si>
    <t>SO93B1</t>
  </si>
  <si>
    <t>SO93F2</t>
  </si>
  <si>
    <t>ID</t>
  </si>
  <si>
    <t>BU95F1</t>
  </si>
  <si>
    <t>BU95F2</t>
  </si>
  <si>
    <t>BU95F3</t>
  </si>
  <si>
    <t>Declining</t>
  </si>
  <si>
    <t>Description</t>
  </si>
  <si>
    <t>MC98F1</t>
  </si>
  <si>
    <t>RS03F1</t>
  </si>
  <si>
    <t>SR03F1</t>
  </si>
  <si>
    <t>MC06F1</t>
  </si>
  <si>
    <t>Non-parametric</t>
  </si>
  <si>
    <t>KO20B1</t>
  </si>
  <si>
    <t>KO21B1</t>
  </si>
  <si>
    <t>TH19B1</t>
  </si>
  <si>
    <t>RO09B1</t>
  </si>
  <si>
    <t>JE10F1</t>
  </si>
  <si>
    <t>SO12B1</t>
  </si>
  <si>
    <t>TH13B1</t>
  </si>
  <si>
    <t>AL14B1</t>
  </si>
  <si>
    <t>AL14B2</t>
  </si>
  <si>
    <t>Likelihood</t>
  </si>
  <si>
    <t>SO16B1</t>
  </si>
  <si>
    <t>SO16B2</t>
  </si>
  <si>
    <t>CB14B1</t>
  </si>
  <si>
    <t>LE14B1</t>
  </si>
  <si>
    <t>LE14B2</t>
  </si>
  <si>
    <t>TH13B2</t>
  </si>
  <si>
    <t>TH13B3</t>
  </si>
  <si>
    <t>Deterministic</t>
  </si>
  <si>
    <t>Quenched</t>
  </si>
  <si>
    <t>Annealed</t>
  </si>
  <si>
    <t>SB14B1</t>
  </si>
  <si>
    <t>AL15B1</t>
  </si>
  <si>
    <t>SB14B2</t>
  </si>
  <si>
    <t>JE10F2</t>
  </si>
  <si>
    <t>SL88F1</t>
  </si>
  <si>
    <t>MA94F1</t>
  </si>
  <si>
    <t>MA97F1</t>
  </si>
  <si>
    <t>✗</t>
  </si>
  <si>
    <t>BR12F1</t>
  </si>
  <si>
    <t>BR19F1</t>
  </si>
  <si>
    <t>MC99F1</t>
  </si>
  <si>
    <t>Classical Confidence Intervals and Bayesian Probability Estimates for Ends of Local Taxon Ranges</t>
  </si>
  <si>
    <t>Broken Stick</t>
  </si>
  <si>
    <t>Distribution-free</t>
  </si>
  <si>
    <t>JR14F1</t>
  </si>
  <si>
    <t>BR19F2</t>
  </si>
  <si>
    <t>WA16B1</t>
  </si>
  <si>
    <t>KO20B2</t>
  </si>
  <si>
    <t>Discrete-time</t>
  </si>
  <si>
    <t>Runs Test</t>
  </si>
  <si>
    <t>Empty Cells</t>
  </si>
  <si>
    <t>Partial Solow</t>
  </si>
  <si>
    <t>Median Gap</t>
  </si>
  <si>
    <t>Optimal Linear Estimation</t>
  </si>
  <si>
    <t>Non-random</t>
  </si>
  <si>
    <t>Stationary</t>
  </si>
  <si>
    <t>Non-stationary</t>
  </si>
  <si>
    <t>Inverse-weighted McInerny</t>
  </si>
  <si>
    <t>Uncertain</t>
  </si>
  <si>
    <t>Creeping Shadow of a Doubt</t>
  </si>
  <si>
    <t>Retrospective</t>
  </si>
  <si>
    <t>Sequential</t>
  </si>
  <si>
    <t>CB14B2</t>
  </si>
  <si>
    <t>Constant</t>
  </si>
  <si>
    <t>Non-constant</t>
  </si>
  <si>
    <t>Simple</t>
  </si>
  <si>
    <t>Variable Reliability</t>
  </si>
  <si>
    <t>Adaptive</t>
  </si>
  <si>
    <t>Iterative</t>
  </si>
  <si>
    <t>Bayesian Updating</t>
  </si>
  <si>
    <t>Certain-only</t>
  </si>
  <si>
    <t>Change-point</t>
  </si>
  <si>
    <t>Agnostic</t>
  </si>
  <si>
    <t>WM99B1</t>
  </si>
  <si>
    <t>BR19F3</t>
  </si>
  <si>
    <t>BR19F4</t>
  </si>
  <si>
    <t>BR19F5</t>
  </si>
  <si>
    <t>McInerny</t>
  </si>
  <si>
    <t>Last Appearance Date</t>
  </si>
  <si>
    <t>TH17I1</t>
  </si>
  <si>
    <t>Inference</t>
  </si>
  <si>
    <t>Frequentist</t>
  </si>
  <si>
    <t>Format</t>
  </si>
  <si>
    <t>ccon</t>
  </si>
  <si>
    <t>cdis</t>
  </si>
  <si>
    <t>cbin</t>
  </si>
  <si>
    <t>ubin</t>
  </si>
  <si>
    <t>ucon</t>
  </si>
  <si>
    <t>iucn</t>
  </si>
  <si>
    <t>Outputs</t>
  </si>
  <si>
    <t>Inputs</t>
  </si>
  <si>
    <t>Surveys</t>
  </si>
  <si>
    <t>IUCN</t>
  </si>
  <si>
    <t>Uncertainty</t>
  </si>
  <si>
    <t>Binary</t>
  </si>
  <si>
    <t>Multi-class</t>
  </si>
  <si>
    <t>Continuous</t>
  </si>
  <si>
    <t>None</t>
  </si>
  <si>
    <t>#</t>
  </si>
  <si>
    <t>Origin</t>
  </si>
  <si>
    <t>Palaeontology</t>
  </si>
  <si>
    <t>umcb</t>
  </si>
  <si>
    <t>NA</t>
  </si>
  <si>
    <t>dodo?</t>
  </si>
  <si>
    <t>Estimate</t>
  </si>
  <si>
    <t>Interval</t>
  </si>
  <si>
    <t>Probability</t>
  </si>
  <si>
    <t>Bayes Factor</t>
  </si>
  <si>
    <t>Which Used</t>
  </si>
  <si>
    <t>No</t>
  </si>
  <si>
    <t>Confidence</t>
  </si>
  <si>
    <t>Conf. Int.</t>
  </si>
  <si>
    <t>Yes</t>
  </si>
  <si>
    <t>Credible</t>
  </si>
  <si>
    <t>Cred. Int.</t>
  </si>
  <si>
    <t>P-value</t>
  </si>
  <si>
    <t>P(Extinct)</t>
  </si>
  <si>
    <t>Bayes Fact.</t>
  </si>
  <si>
    <t>Proxy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</si>
</sst>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onsolas"/>
      <family val="3"/>
    </font>
    <font>
      <b/>
      <sz val="11"/>
      <color theme="1"/>
      <name val="Consolas"/>
      <family val="3"/>
    </font>
    <font>
      <sz val="11"/>
      <color theme="0" tint="-0.499984740745262"/>
      <name val="Calibri"/>
      <family val="2"/>
      <scheme val="minor"/>
    </font>
    <font>
      <sz val="11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autoPageBreaks="0"/>
  </sheetPr>
  <dimension ref="A1:S54"/>
  <sheetViews>
    <sheetView tabSelected="1" zoomScale="85" zoomScaleNormal="85" workbookViewId="0">
      <pane xSplit="5" ySplit="2" topLeftCell="F3" activePane="bottomRight" state="frozen"/>
      <selection pane="topRight" activeCell="C1" sqref="C1"/>
      <selection pane="bottomLeft" activeCell="A3" sqref="A3"/>
      <selection pane="bottomRight" activeCell="K14" sqref="K14"/>
    </sheetView>
  </sheetViews>
  <sheetFormatPr defaultColWidth="9.140625" defaultRowHeight="15" x14ac:dyDescent="0.25"/>
  <cols>
    <col min="1" max="1" width="3.140625" bestFit="1" customWidth="1"/>
    <col min="2" max="2" width="9" style="5" bestFit="1" customWidth="1"/>
    <col min="3" max="3" width="27.7109375" bestFit="1" customWidth="1"/>
    <col min="4" max="4" width="17.85546875" bestFit="1" customWidth="1"/>
    <col min="5" max="5" width="5.140625" bestFit="1" customWidth="1"/>
    <col min="6" max="6" width="117" bestFit="1" customWidth="1"/>
    <col min="7" max="7" width="47.5703125" bestFit="1" customWidth="1"/>
    <col min="8" max="8" width="47" bestFit="1" customWidth="1"/>
    <col min="9" max="9" width="6.5703125" bestFit="1" customWidth="1"/>
    <col min="10" max="10" width="14.42578125" bestFit="1" customWidth="1"/>
    <col min="11" max="11" width="11.7109375" bestFit="1" customWidth="1"/>
    <col min="12" max="12" width="7.28515625" bestFit="1" customWidth="1"/>
    <col min="13" max="13" width="7.85546875" bestFit="1" customWidth="1"/>
    <col min="14" max="14" width="11.5703125" bestFit="1" customWidth="1"/>
    <col min="15" max="15" width="11.28515625" bestFit="1" customWidth="1"/>
    <col min="16" max="16" width="11.42578125" bestFit="1" customWidth="1"/>
    <col min="17" max="17" width="13" bestFit="1" customWidth="1"/>
    <col min="18" max="18" width="14.5703125" bestFit="1" customWidth="1"/>
    <col min="19" max="19" width="14" bestFit="1" customWidth="1"/>
  </cols>
  <sheetData>
    <row r="1" spans="1:19" x14ac:dyDescent="0.25">
      <c r="D1" s="11" t="s">
        <v>5</v>
      </c>
      <c r="E1" s="11"/>
      <c r="F1" s="11"/>
      <c r="G1" s="11"/>
      <c r="H1" s="11"/>
      <c r="L1" s="11" t="s">
        <v>216</v>
      </c>
      <c r="M1" s="11"/>
      <c r="N1" s="11"/>
      <c r="O1" s="11" t="s">
        <v>215</v>
      </c>
      <c r="P1" s="11"/>
      <c r="Q1" s="11"/>
      <c r="R1" s="11"/>
      <c r="S1" s="11"/>
    </row>
    <row r="2" spans="1:19" x14ac:dyDescent="0.25">
      <c r="A2" s="1" t="s">
        <v>224</v>
      </c>
      <c r="B2" s="6" t="s">
        <v>125</v>
      </c>
      <c r="C2" s="1" t="s">
        <v>130</v>
      </c>
      <c r="D2" s="1" t="s">
        <v>2</v>
      </c>
      <c r="E2" s="1" t="s">
        <v>0</v>
      </c>
      <c r="F2" s="1" t="s">
        <v>1</v>
      </c>
      <c r="G2" s="1" t="s">
        <v>3</v>
      </c>
      <c r="H2" s="1" t="s">
        <v>4</v>
      </c>
      <c r="I2" s="1" t="s">
        <v>229</v>
      </c>
      <c r="J2" s="1" t="s">
        <v>225</v>
      </c>
      <c r="K2" s="1" t="s">
        <v>206</v>
      </c>
      <c r="L2" s="1" t="s">
        <v>208</v>
      </c>
      <c r="M2" s="1" t="s">
        <v>7</v>
      </c>
      <c r="N2" s="1" t="s">
        <v>219</v>
      </c>
      <c r="O2" s="1" t="s">
        <v>230</v>
      </c>
      <c r="P2" s="1" t="s">
        <v>231</v>
      </c>
      <c r="Q2" s="1" t="s">
        <v>232</v>
      </c>
      <c r="R2" s="1" t="s">
        <v>233</v>
      </c>
      <c r="S2" s="1" t="s">
        <v>234</v>
      </c>
    </row>
    <row r="3" spans="1:19" x14ac:dyDescent="0.25">
      <c r="A3">
        <v>1</v>
      </c>
      <c r="B3" s="8" t="s">
        <v>160</v>
      </c>
      <c r="C3" t="s">
        <v>168</v>
      </c>
      <c r="D3" t="s">
        <v>115</v>
      </c>
      <c r="E3">
        <v>1988</v>
      </c>
      <c r="F3" t="s">
        <v>116</v>
      </c>
      <c r="G3" t="s">
        <v>117</v>
      </c>
      <c r="H3" t="s">
        <v>118</v>
      </c>
      <c r="I3" s="2" t="s">
        <v>119</v>
      </c>
      <c r="J3" t="s">
        <v>226</v>
      </c>
      <c r="K3" t="s">
        <v>207</v>
      </c>
      <c r="L3" s="8" t="s">
        <v>209</v>
      </c>
      <c r="M3" s="7" t="s">
        <v>223</v>
      </c>
      <c r="N3" s="7" t="s">
        <v>223</v>
      </c>
      <c r="O3" t="s">
        <v>235</v>
      </c>
      <c r="P3" t="s">
        <v>236</v>
      </c>
      <c r="Q3" s="7" t="s">
        <v>223</v>
      </c>
      <c r="R3" s="7" t="s">
        <v>228</v>
      </c>
      <c r="S3" t="s">
        <v>237</v>
      </c>
    </row>
    <row r="4" spans="1:19" x14ac:dyDescent="0.25">
      <c r="A4">
        <v>2</v>
      </c>
      <c r="B4" s="8" t="s">
        <v>120</v>
      </c>
      <c r="C4" t="s">
        <v>104</v>
      </c>
      <c r="D4" s="10" t="s">
        <v>58</v>
      </c>
      <c r="E4" s="9">
        <v>1989</v>
      </c>
      <c r="F4" s="10" t="s">
        <v>167</v>
      </c>
      <c r="G4" s="10" t="s">
        <v>59</v>
      </c>
      <c r="H4" s="10" t="s">
        <v>60</v>
      </c>
      <c r="I4" s="2" t="s">
        <v>119</v>
      </c>
      <c r="J4" t="s">
        <v>226</v>
      </c>
      <c r="K4" t="s">
        <v>207</v>
      </c>
      <c r="L4" s="8" t="s">
        <v>209</v>
      </c>
      <c r="M4" s="7" t="s">
        <v>223</v>
      </c>
      <c r="N4" s="7" t="s">
        <v>223</v>
      </c>
      <c r="O4" t="s">
        <v>238</v>
      </c>
      <c r="P4" t="s">
        <v>236</v>
      </c>
      <c r="Q4" s="7" t="s">
        <v>223</v>
      </c>
      <c r="R4" s="7" t="s">
        <v>228</v>
      </c>
      <c r="S4" t="s">
        <v>237</v>
      </c>
    </row>
    <row r="5" spans="1:19" x14ac:dyDescent="0.25">
      <c r="A5">
        <v>3</v>
      </c>
      <c r="B5" s="8" t="s">
        <v>121</v>
      </c>
      <c r="C5" t="s">
        <v>105</v>
      </c>
      <c r="D5" s="10"/>
      <c r="E5" s="9"/>
      <c r="F5" s="10"/>
      <c r="G5" s="10"/>
      <c r="H5" s="10"/>
      <c r="I5" s="2" t="s">
        <v>119</v>
      </c>
      <c r="J5" t="s">
        <v>226</v>
      </c>
      <c r="K5" t="s">
        <v>105</v>
      </c>
      <c r="L5" s="8" t="s">
        <v>209</v>
      </c>
      <c r="M5" s="7" t="s">
        <v>223</v>
      </c>
      <c r="N5" s="7" t="s">
        <v>223</v>
      </c>
      <c r="O5" t="s">
        <v>238</v>
      </c>
      <c r="P5" t="s">
        <v>239</v>
      </c>
      <c r="Q5" s="7" t="s">
        <v>223</v>
      </c>
      <c r="R5" t="s">
        <v>235</v>
      </c>
      <c r="S5" t="s">
        <v>240</v>
      </c>
    </row>
    <row r="6" spans="1:19" x14ac:dyDescent="0.25">
      <c r="A6">
        <v>4</v>
      </c>
      <c r="B6" s="8" t="s">
        <v>122</v>
      </c>
      <c r="C6" t="s">
        <v>104</v>
      </c>
      <c r="D6" s="10" t="s">
        <v>8</v>
      </c>
      <c r="E6" s="9">
        <v>1993</v>
      </c>
      <c r="F6" s="10" t="s">
        <v>9</v>
      </c>
      <c r="G6" s="10" t="s">
        <v>11</v>
      </c>
      <c r="H6" s="10" t="s">
        <v>10</v>
      </c>
      <c r="I6" s="2" t="s">
        <v>119</v>
      </c>
      <c r="J6" t="s">
        <v>75</v>
      </c>
      <c r="K6" t="s">
        <v>207</v>
      </c>
      <c r="L6" s="8" t="s">
        <v>209</v>
      </c>
      <c r="M6" s="7" t="s">
        <v>223</v>
      </c>
      <c r="N6" s="7" t="s">
        <v>223</v>
      </c>
      <c r="O6" t="s">
        <v>238</v>
      </c>
      <c r="P6" t="s">
        <v>236</v>
      </c>
      <c r="Q6" t="s">
        <v>241</v>
      </c>
      <c r="R6" s="7" t="s">
        <v>228</v>
      </c>
      <c r="S6" t="str">
        <f t="shared" ref="S6:S8" si="0">Q6</f>
        <v>P-value</v>
      </c>
    </row>
    <row r="7" spans="1:19" x14ac:dyDescent="0.25">
      <c r="A7">
        <v>5</v>
      </c>
      <c r="B7" s="8" t="s">
        <v>123</v>
      </c>
      <c r="C7" t="s">
        <v>105</v>
      </c>
      <c r="D7" s="10"/>
      <c r="E7" s="9"/>
      <c r="F7" s="10"/>
      <c r="G7" s="10"/>
      <c r="H7" s="10"/>
      <c r="I7" s="2" t="s">
        <v>119</v>
      </c>
      <c r="J7" t="s">
        <v>75</v>
      </c>
      <c r="K7" t="s">
        <v>105</v>
      </c>
      <c r="L7" s="8" t="s">
        <v>209</v>
      </c>
      <c r="M7" s="7" t="s">
        <v>223</v>
      </c>
      <c r="N7" s="7" t="s">
        <v>223</v>
      </c>
      <c r="O7" s="7" t="s">
        <v>235</v>
      </c>
      <c r="P7" s="7" t="s">
        <v>223</v>
      </c>
      <c r="Q7" t="s">
        <v>242</v>
      </c>
      <c r="R7" t="s">
        <v>238</v>
      </c>
      <c r="S7" t="str">
        <f t="shared" si="0"/>
        <v>P(Extinct)</v>
      </c>
    </row>
    <row r="8" spans="1:19" x14ac:dyDescent="0.25">
      <c r="A8">
        <v>6</v>
      </c>
      <c r="B8" s="8" t="s">
        <v>124</v>
      </c>
      <c r="C8" t="s">
        <v>129</v>
      </c>
      <c r="D8" t="s">
        <v>8</v>
      </c>
      <c r="E8">
        <v>1993</v>
      </c>
      <c r="F8" t="s">
        <v>13</v>
      </c>
      <c r="G8" t="s">
        <v>12</v>
      </c>
      <c r="H8" t="s">
        <v>14</v>
      </c>
      <c r="I8" s="2" t="s">
        <v>119</v>
      </c>
      <c r="J8" t="s">
        <v>75</v>
      </c>
      <c r="K8" t="s">
        <v>207</v>
      </c>
      <c r="L8" s="8" t="s">
        <v>209</v>
      </c>
      <c r="M8" s="7" t="s">
        <v>223</v>
      </c>
      <c r="N8" s="7" t="s">
        <v>223</v>
      </c>
      <c r="O8" t="s">
        <v>238</v>
      </c>
      <c r="P8" t="s">
        <v>236</v>
      </c>
      <c r="Q8" t="s">
        <v>241</v>
      </c>
      <c r="R8" s="7" t="s">
        <v>228</v>
      </c>
      <c r="S8" t="str">
        <f t="shared" si="0"/>
        <v>P-value</v>
      </c>
    </row>
    <row r="9" spans="1:19" x14ac:dyDescent="0.25">
      <c r="A9">
        <v>7</v>
      </c>
      <c r="B9" s="8" t="s">
        <v>161</v>
      </c>
      <c r="C9" t="s">
        <v>169</v>
      </c>
      <c r="D9" t="s">
        <v>61</v>
      </c>
      <c r="E9">
        <v>1994</v>
      </c>
      <c r="F9" t="s">
        <v>109</v>
      </c>
      <c r="G9" t="s">
        <v>68</v>
      </c>
      <c r="H9" t="s">
        <v>110</v>
      </c>
      <c r="I9" s="2" t="s">
        <v>119</v>
      </c>
      <c r="J9" t="s">
        <v>226</v>
      </c>
      <c r="K9" t="s">
        <v>207</v>
      </c>
      <c r="L9" s="8" t="s">
        <v>209</v>
      </c>
      <c r="M9" s="7" t="s">
        <v>223</v>
      </c>
      <c r="N9" s="7" t="s">
        <v>223</v>
      </c>
      <c r="O9" s="7" t="s">
        <v>235</v>
      </c>
      <c r="P9" t="s">
        <v>236</v>
      </c>
      <c r="Q9" s="7" t="s">
        <v>223</v>
      </c>
      <c r="R9" s="7" t="s">
        <v>228</v>
      </c>
      <c r="S9" t="s">
        <v>237</v>
      </c>
    </row>
    <row r="10" spans="1:19" x14ac:dyDescent="0.25">
      <c r="A10">
        <v>8</v>
      </c>
      <c r="B10" s="8" t="s">
        <v>126</v>
      </c>
      <c r="C10" t="s">
        <v>174</v>
      </c>
      <c r="D10" s="10" t="s">
        <v>16</v>
      </c>
      <c r="E10" s="9">
        <v>1995</v>
      </c>
      <c r="F10" s="10" t="s">
        <v>17</v>
      </c>
      <c r="G10" s="10" t="s">
        <v>18</v>
      </c>
      <c r="H10" s="10" t="s">
        <v>15</v>
      </c>
      <c r="I10" s="2" t="s">
        <v>119</v>
      </c>
      <c r="J10" t="s">
        <v>75</v>
      </c>
      <c r="K10" t="s">
        <v>207</v>
      </c>
      <c r="L10" s="8" t="s">
        <v>210</v>
      </c>
      <c r="M10" s="7" t="s">
        <v>223</v>
      </c>
      <c r="N10" s="7" t="s">
        <v>223</v>
      </c>
      <c r="O10" s="7" t="s">
        <v>235</v>
      </c>
      <c r="P10" s="7" t="s">
        <v>223</v>
      </c>
      <c r="Q10" t="s">
        <v>241</v>
      </c>
      <c r="R10" s="7" t="s">
        <v>228</v>
      </c>
      <c r="S10" t="str">
        <f t="shared" ref="S10:S12" si="1">Q10</f>
        <v>P-value</v>
      </c>
    </row>
    <row r="11" spans="1:19" x14ac:dyDescent="0.25">
      <c r="A11">
        <v>9</v>
      </c>
      <c r="B11" s="8" t="s">
        <v>127</v>
      </c>
      <c r="C11" t="s">
        <v>175</v>
      </c>
      <c r="D11" s="10"/>
      <c r="E11" s="9"/>
      <c r="F11" s="10"/>
      <c r="G11" s="10"/>
      <c r="H11" s="10"/>
      <c r="I11" s="2" t="s">
        <v>119</v>
      </c>
      <c r="J11" t="s">
        <v>75</v>
      </c>
      <c r="K11" t="s">
        <v>207</v>
      </c>
      <c r="L11" s="8" t="s">
        <v>210</v>
      </c>
      <c r="M11" s="7" t="s">
        <v>223</v>
      </c>
      <c r="N11" s="7" t="s">
        <v>223</v>
      </c>
      <c r="O11" s="7" t="s">
        <v>235</v>
      </c>
      <c r="P11" s="7" t="s">
        <v>223</v>
      </c>
      <c r="Q11" t="s">
        <v>241</v>
      </c>
      <c r="R11" s="7" t="s">
        <v>228</v>
      </c>
      <c r="S11" t="str">
        <f t="shared" si="1"/>
        <v>P-value</v>
      </c>
    </row>
    <row r="12" spans="1:19" x14ac:dyDescent="0.25">
      <c r="A12">
        <v>10</v>
      </c>
      <c r="B12" s="8" t="s">
        <v>128</v>
      </c>
      <c r="C12" t="s">
        <v>176</v>
      </c>
      <c r="D12" s="10"/>
      <c r="E12" s="9"/>
      <c r="F12" s="10"/>
      <c r="G12" s="10"/>
      <c r="H12" s="10"/>
      <c r="I12" s="2" t="s">
        <v>119</v>
      </c>
      <c r="J12" t="s">
        <v>75</v>
      </c>
      <c r="K12" t="s">
        <v>207</v>
      </c>
      <c r="L12" s="8" t="s">
        <v>210</v>
      </c>
      <c r="M12" s="7" t="s">
        <v>223</v>
      </c>
      <c r="N12" s="7" t="s">
        <v>223</v>
      </c>
      <c r="O12" s="7" t="s">
        <v>235</v>
      </c>
      <c r="P12" s="7" t="s">
        <v>223</v>
      </c>
      <c r="Q12" t="s">
        <v>241</v>
      </c>
      <c r="R12" s="7" t="s">
        <v>228</v>
      </c>
      <c r="S12" t="str">
        <f t="shared" si="1"/>
        <v>P-value</v>
      </c>
    </row>
    <row r="13" spans="1:19" x14ac:dyDescent="0.25">
      <c r="A13">
        <v>11</v>
      </c>
      <c r="B13" s="8" t="s">
        <v>162</v>
      </c>
      <c r="C13" t="s">
        <v>180</v>
      </c>
      <c r="D13" t="s">
        <v>61</v>
      </c>
      <c r="E13">
        <v>1997</v>
      </c>
      <c r="F13" t="s">
        <v>62</v>
      </c>
      <c r="G13" t="s">
        <v>63</v>
      </c>
      <c r="H13" t="s">
        <v>64</v>
      </c>
      <c r="I13" s="2" t="s">
        <v>119</v>
      </c>
      <c r="J13" t="s">
        <v>226</v>
      </c>
      <c r="K13" t="s">
        <v>207</v>
      </c>
      <c r="L13" s="8" t="s">
        <v>210</v>
      </c>
      <c r="M13" t="s">
        <v>244</v>
      </c>
      <c r="N13" s="7" t="s">
        <v>223</v>
      </c>
      <c r="O13" s="7" t="s">
        <v>235</v>
      </c>
      <c r="P13" t="s">
        <v>236</v>
      </c>
      <c r="Q13" s="7" t="s">
        <v>223</v>
      </c>
      <c r="R13" s="7" t="s">
        <v>228</v>
      </c>
      <c r="S13" t="s">
        <v>237</v>
      </c>
    </row>
    <row r="14" spans="1:19" x14ac:dyDescent="0.25">
      <c r="A14">
        <v>12</v>
      </c>
      <c r="B14" s="8" t="s">
        <v>131</v>
      </c>
      <c r="C14" t="s">
        <v>177</v>
      </c>
      <c r="D14" t="s">
        <v>20</v>
      </c>
      <c r="E14">
        <v>1998</v>
      </c>
      <c r="F14" t="s">
        <v>19</v>
      </c>
      <c r="G14" t="s">
        <v>21</v>
      </c>
      <c r="H14" t="s">
        <v>22</v>
      </c>
      <c r="I14" s="2" t="s">
        <v>119</v>
      </c>
      <c r="J14" t="s">
        <v>75</v>
      </c>
      <c r="K14" t="s">
        <v>207</v>
      </c>
      <c r="L14" s="8" t="s">
        <v>210</v>
      </c>
      <c r="M14" t="s">
        <v>244</v>
      </c>
      <c r="N14" s="7" t="s">
        <v>223</v>
      </c>
      <c r="O14" s="7" t="s">
        <v>235</v>
      </c>
      <c r="P14" s="7" t="s">
        <v>223</v>
      </c>
      <c r="Q14" t="s">
        <v>241</v>
      </c>
      <c r="R14" s="7" t="s">
        <v>228</v>
      </c>
      <c r="S14" t="str">
        <f t="shared" ref="S14:S22" si="2">Q14</f>
        <v>P-value</v>
      </c>
    </row>
    <row r="15" spans="1:19" x14ac:dyDescent="0.25">
      <c r="A15">
        <v>13</v>
      </c>
      <c r="B15" s="8" t="s">
        <v>166</v>
      </c>
      <c r="C15" t="s">
        <v>178</v>
      </c>
      <c r="D15" t="s">
        <v>111</v>
      </c>
      <c r="E15">
        <v>1999</v>
      </c>
      <c r="F15" t="s">
        <v>112</v>
      </c>
      <c r="G15" t="s">
        <v>113</v>
      </c>
      <c r="H15" t="s">
        <v>114</v>
      </c>
      <c r="I15" s="2" t="s">
        <v>119</v>
      </c>
      <c r="J15" t="s">
        <v>226</v>
      </c>
      <c r="K15" t="s">
        <v>207</v>
      </c>
      <c r="L15" s="8" t="s">
        <v>209</v>
      </c>
      <c r="M15" s="7" t="s">
        <v>223</v>
      </c>
      <c r="N15" s="7" t="s">
        <v>223</v>
      </c>
      <c r="O15" s="7" t="s">
        <v>235</v>
      </c>
      <c r="P15" t="s">
        <v>236</v>
      </c>
      <c r="Q15" t="s">
        <v>241</v>
      </c>
      <c r="R15" s="7" t="s">
        <v>228</v>
      </c>
      <c r="S15" t="str">
        <f t="shared" si="2"/>
        <v>P-value</v>
      </c>
    </row>
    <row r="16" spans="1:19" x14ac:dyDescent="0.25">
      <c r="A16">
        <v>14</v>
      </c>
      <c r="B16" s="8" t="s">
        <v>199</v>
      </c>
      <c r="C16" t="s">
        <v>174</v>
      </c>
      <c r="D16" t="s">
        <v>95</v>
      </c>
      <c r="E16">
        <v>1999</v>
      </c>
      <c r="F16" t="s">
        <v>96</v>
      </c>
      <c r="G16" t="s">
        <v>59</v>
      </c>
      <c r="H16" t="s">
        <v>97</v>
      </c>
      <c r="I16" s="2" t="s">
        <v>119</v>
      </c>
      <c r="J16" t="s">
        <v>226</v>
      </c>
      <c r="K16" t="s">
        <v>105</v>
      </c>
      <c r="L16" s="8" t="s">
        <v>211</v>
      </c>
      <c r="M16" t="s">
        <v>217</v>
      </c>
      <c r="N16" s="7" t="s">
        <v>223</v>
      </c>
      <c r="O16" t="s">
        <v>238</v>
      </c>
      <c r="P16" t="s">
        <v>239</v>
      </c>
      <c r="Q16" t="s">
        <v>242</v>
      </c>
      <c r="R16" t="s">
        <v>235</v>
      </c>
      <c r="S16" t="str">
        <f t="shared" si="2"/>
        <v>P(Extinct)</v>
      </c>
    </row>
    <row r="17" spans="1:19" x14ac:dyDescent="0.25">
      <c r="A17">
        <v>15</v>
      </c>
      <c r="B17" s="8" t="s">
        <v>132</v>
      </c>
      <c r="C17" t="s">
        <v>179</v>
      </c>
      <c r="D17" t="s">
        <v>33</v>
      </c>
      <c r="E17">
        <v>2003</v>
      </c>
      <c r="F17" t="s">
        <v>32</v>
      </c>
      <c r="G17" t="s">
        <v>34</v>
      </c>
      <c r="H17" t="s">
        <v>35</v>
      </c>
      <c r="I17" s="2" t="s">
        <v>119</v>
      </c>
      <c r="J17" t="s">
        <v>75</v>
      </c>
      <c r="K17" t="s">
        <v>207</v>
      </c>
      <c r="L17" s="8" t="s">
        <v>209</v>
      </c>
      <c r="M17" s="7" t="s">
        <v>223</v>
      </c>
      <c r="N17" s="7" t="s">
        <v>223</v>
      </c>
      <c r="O17" t="s">
        <v>238</v>
      </c>
      <c r="P17" t="s">
        <v>236</v>
      </c>
      <c r="Q17" t="s">
        <v>241</v>
      </c>
      <c r="R17" s="7" t="s">
        <v>228</v>
      </c>
      <c r="S17" t="str">
        <f t="shared" si="2"/>
        <v>P-value</v>
      </c>
    </row>
    <row r="18" spans="1:19" x14ac:dyDescent="0.25">
      <c r="A18">
        <v>16</v>
      </c>
      <c r="B18" s="8" t="s">
        <v>133</v>
      </c>
      <c r="C18" t="s">
        <v>135</v>
      </c>
      <c r="D18" t="s">
        <v>24</v>
      </c>
      <c r="E18">
        <v>2003</v>
      </c>
      <c r="F18" t="s">
        <v>23</v>
      </c>
      <c r="G18" t="s">
        <v>11</v>
      </c>
      <c r="H18" t="s">
        <v>94</v>
      </c>
      <c r="I18" s="2" t="s">
        <v>119</v>
      </c>
      <c r="J18" t="s">
        <v>75</v>
      </c>
      <c r="K18" t="s">
        <v>207</v>
      </c>
      <c r="L18" s="8" t="s">
        <v>209</v>
      </c>
      <c r="M18" s="7" t="s">
        <v>223</v>
      </c>
      <c r="N18" s="7" t="s">
        <v>223</v>
      </c>
      <c r="O18" t="s">
        <v>238</v>
      </c>
      <c r="P18" t="s">
        <v>236</v>
      </c>
      <c r="Q18" t="s">
        <v>241</v>
      </c>
      <c r="R18" s="7" t="s">
        <v>228</v>
      </c>
      <c r="S18" t="str">
        <f t="shared" si="2"/>
        <v>P-value</v>
      </c>
    </row>
    <row r="19" spans="1:19" x14ac:dyDescent="0.25">
      <c r="A19">
        <v>17</v>
      </c>
      <c r="B19" s="8" t="s">
        <v>134</v>
      </c>
      <c r="C19" t="s">
        <v>6</v>
      </c>
      <c r="D19" t="s">
        <v>26</v>
      </c>
      <c r="E19">
        <v>2006</v>
      </c>
      <c r="F19" t="s">
        <v>25</v>
      </c>
      <c r="G19" t="s">
        <v>18</v>
      </c>
      <c r="H19" t="s">
        <v>27</v>
      </c>
      <c r="I19" s="2" t="s">
        <v>119</v>
      </c>
      <c r="J19" t="s">
        <v>75</v>
      </c>
      <c r="K19" t="s">
        <v>207</v>
      </c>
      <c r="L19" s="8" t="s">
        <v>211</v>
      </c>
      <c r="M19" s="7" t="s">
        <v>223</v>
      </c>
      <c r="N19" s="7" t="s">
        <v>223</v>
      </c>
      <c r="O19" s="7" t="s">
        <v>235</v>
      </c>
      <c r="P19" t="s">
        <v>236</v>
      </c>
      <c r="Q19" t="s">
        <v>241</v>
      </c>
      <c r="R19" s="7" t="s">
        <v>228</v>
      </c>
      <c r="S19" t="str">
        <f t="shared" si="2"/>
        <v>P-value</v>
      </c>
    </row>
    <row r="20" spans="1:19" x14ac:dyDescent="0.25">
      <c r="A20">
        <v>18</v>
      </c>
      <c r="B20" s="8" t="s">
        <v>139</v>
      </c>
      <c r="C20" t="s">
        <v>129</v>
      </c>
      <c r="D20" t="s">
        <v>37</v>
      </c>
      <c r="E20">
        <v>2009</v>
      </c>
      <c r="F20" t="s">
        <v>36</v>
      </c>
      <c r="G20" t="s">
        <v>38</v>
      </c>
      <c r="H20" t="s">
        <v>39</v>
      </c>
      <c r="I20" s="2" t="s">
        <v>119</v>
      </c>
      <c r="J20" t="s">
        <v>75</v>
      </c>
      <c r="K20" t="s">
        <v>105</v>
      </c>
      <c r="L20" s="8" t="s">
        <v>211</v>
      </c>
      <c r="M20" s="7" t="s">
        <v>223</v>
      </c>
      <c r="N20" s="7" t="s">
        <v>223</v>
      </c>
      <c r="O20" s="7" t="s">
        <v>235</v>
      </c>
      <c r="P20" s="7" t="s">
        <v>223</v>
      </c>
      <c r="Q20" t="s">
        <v>242</v>
      </c>
      <c r="R20" t="s">
        <v>238</v>
      </c>
      <c r="S20" t="str">
        <f t="shared" si="2"/>
        <v>P(Extinct)</v>
      </c>
    </row>
    <row r="21" spans="1:19" x14ac:dyDescent="0.25">
      <c r="A21">
        <v>19</v>
      </c>
      <c r="B21" s="8" t="s">
        <v>140</v>
      </c>
      <c r="C21" t="s">
        <v>181</v>
      </c>
      <c r="D21" s="10" t="s">
        <v>28</v>
      </c>
      <c r="E21" s="9">
        <v>2010</v>
      </c>
      <c r="F21" s="10" t="s">
        <v>29</v>
      </c>
      <c r="G21" s="10" t="s">
        <v>30</v>
      </c>
      <c r="H21" s="10" t="s">
        <v>31</v>
      </c>
      <c r="I21" s="2" t="s">
        <v>119</v>
      </c>
      <c r="J21" t="s">
        <v>75</v>
      </c>
      <c r="K21" t="s">
        <v>207</v>
      </c>
      <c r="L21" s="8" t="s">
        <v>209</v>
      </c>
      <c r="M21" s="7" t="s">
        <v>223</v>
      </c>
      <c r="N21" s="7" t="s">
        <v>223</v>
      </c>
      <c r="O21" s="7" t="s">
        <v>235</v>
      </c>
      <c r="P21" t="s">
        <v>236</v>
      </c>
      <c r="Q21" t="s">
        <v>241</v>
      </c>
      <c r="R21" s="7" t="s">
        <v>228</v>
      </c>
      <c r="S21" t="str">
        <f t="shared" si="2"/>
        <v>P-value</v>
      </c>
    </row>
    <row r="22" spans="1:19" x14ac:dyDescent="0.25">
      <c r="A22">
        <v>20</v>
      </c>
      <c r="B22" s="8" t="s">
        <v>159</v>
      </c>
      <c r="C22" t="s">
        <v>182</v>
      </c>
      <c r="D22" s="10"/>
      <c r="E22" s="9"/>
      <c r="F22" s="10"/>
      <c r="G22" s="10"/>
      <c r="H22" s="10"/>
      <c r="I22" s="2" t="s">
        <v>119</v>
      </c>
      <c r="J22" t="s">
        <v>75</v>
      </c>
      <c r="K22" t="s">
        <v>207</v>
      </c>
      <c r="L22" s="8" t="s">
        <v>209</v>
      </c>
      <c r="M22" s="7" t="s">
        <v>223</v>
      </c>
      <c r="N22" s="7" t="s">
        <v>223</v>
      </c>
      <c r="O22" s="7" t="s">
        <v>235</v>
      </c>
      <c r="P22" t="s">
        <v>236</v>
      </c>
      <c r="Q22" t="s">
        <v>241</v>
      </c>
      <c r="R22" s="7" t="s">
        <v>228</v>
      </c>
      <c r="S22" t="str">
        <f t="shared" si="2"/>
        <v>P-value</v>
      </c>
    </row>
    <row r="23" spans="1:19" x14ac:dyDescent="0.25">
      <c r="A23">
        <v>21</v>
      </c>
      <c r="B23" s="8" t="s">
        <v>164</v>
      </c>
      <c r="C23" t="s">
        <v>183</v>
      </c>
      <c r="D23" t="s">
        <v>98</v>
      </c>
      <c r="E23">
        <v>2012</v>
      </c>
      <c r="F23" t="s">
        <v>99</v>
      </c>
      <c r="G23" t="s">
        <v>100</v>
      </c>
      <c r="H23" t="s">
        <v>101</v>
      </c>
      <c r="I23" s="2" t="s">
        <v>119</v>
      </c>
      <c r="J23" t="s">
        <v>226</v>
      </c>
      <c r="K23" t="s">
        <v>207</v>
      </c>
      <c r="L23" s="8" t="s">
        <v>209</v>
      </c>
      <c r="M23" s="7" t="s">
        <v>223</v>
      </c>
      <c r="N23" s="7" t="s">
        <v>223</v>
      </c>
      <c r="O23" t="s">
        <v>238</v>
      </c>
      <c r="P23" s="7" t="s">
        <v>223</v>
      </c>
      <c r="Q23" s="7" t="s">
        <v>223</v>
      </c>
      <c r="R23" s="7" t="s">
        <v>228</v>
      </c>
      <c r="S23" t="s">
        <v>230</v>
      </c>
    </row>
    <row r="24" spans="1:19" x14ac:dyDescent="0.25">
      <c r="A24">
        <v>22</v>
      </c>
      <c r="B24" s="8" t="s">
        <v>141</v>
      </c>
      <c r="C24" t="s">
        <v>184</v>
      </c>
      <c r="D24" t="s">
        <v>40</v>
      </c>
      <c r="E24">
        <v>2012</v>
      </c>
      <c r="F24" t="s">
        <v>41</v>
      </c>
      <c r="G24" t="s">
        <v>18</v>
      </c>
      <c r="H24" t="s">
        <v>42</v>
      </c>
      <c r="I24" s="2" t="s">
        <v>119</v>
      </c>
      <c r="J24" t="s">
        <v>75</v>
      </c>
      <c r="K24" t="s">
        <v>105</v>
      </c>
      <c r="L24" s="8" t="s">
        <v>212</v>
      </c>
      <c r="M24" s="7" t="s">
        <v>223</v>
      </c>
      <c r="N24" t="s">
        <v>220</v>
      </c>
      <c r="O24" s="7" t="s">
        <v>235</v>
      </c>
      <c r="P24" s="7" t="s">
        <v>223</v>
      </c>
      <c r="Q24" s="7" t="s">
        <v>223</v>
      </c>
      <c r="R24" t="s">
        <v>238</v>
      </c>
      <c r="S24" t="s">
        <v>243</v>
      </c>
    </row>
    <row r="25" spans="1:19" x14ac:dyDescent="0.25">
      <c r="A25">
        <v>23</v>
      </c>
      <c r="B25" s="8" t="s">
        <v>142</v>
      </c>
      <c r="C25" t="s">
        <v>153</v>
      </c>
      <c r="D25" s="10" t="s">
        <v>43</v>
      </c>
      <c r="E25" s="9">
        <v>2013</v>
      </c>
      <c r="F25" s="10" t="s">
        <v>44</v>
      </c>
      <c r="G25" s="10" t="s">
        <v>45</v>
      </c>
      <c r="H25" s="10" t="s">
        <v>46</v>
      </c>
      <c r="I25" s="2" t="s">
        <v>119</v>
      </c>
      <c r="J25" t="s">
        <v>75</v>
      </c>
      <c r="K25" t="s">
        <v>105</v>
      </c>
      <c r="L25" s="8" t="s">
        <v>227</v>
      </c>
      <c r="M25" s="7" t="s">
        <v>223</v>
      </c>
      <c r="N25" t="s">
        <v>221</v>
      </c>
      <c r="O25" s="7" t="s">
        <v>235</v>
      </c>
      <c r="P25" s="7" t="s">
        <v>223</v>
      </c>
      <c r="Q25" t="s">
        <v>242</v>
      </c>
      <c r="R25" t="s">
        <v>235</v>
      </c>
      <c r="S25" t="str">
        <f t="shared" ref="S25:S28" si="3">Q25</f>
        <v>P(Extinct)</v>
      </c>
    </row>
    <row r="26" spans="1:19" x14ac:dyDescent="0.25">
      <c r="A26">
        <v>24</v>
      </c>
      <c r="B26" s="8" t="s">
        <v>151</v>
      </c>
      <c r="C26" t="s">
        <v>154</v>
      </c>
      <c r="D26" s="10"/>
      <c r="E26" s="9"/>
      <c r="F26" s="10"/>
      <c r="G26" s="10"/>
      <c r="H26" s="10"/>
      <c r="I26" s="2" t="s">
        <v>119</v>
      </c>
      <c r="J26" t="s">
        <v>75</v>
      </c>
      <c r="K26" t="s">
        <v>105</v>
      </c>
      <c r="L26" s="8" t="s">
        <v>227</v>
      </c>
      <c r="M26" s="7" t="s">
        <v>223</v>
      </c>
      <c r="N26" t="s">
        <v>221</v>
      </c>
      <c r="O26" s="7" t="s">
        <v>235</v>
      </c>
      <c r="P26" s="7" t="s">
        <v>223</v>
      </c>
      <c r="Q26" t="s">
        <v>242</v>
      </c>
      <c r="R26" t="s">
        <v>235</v>
      </c>
      <c r="S26" t="str">
        <f t="shared" si="3"/>
        <v>P(Extinct)</v>
      </c>
    </row>
    <row r="27" spans="1:19" x14ac:dyDescent="0.25">
      <c r="A27">
        <v>25</v>
      </c>
      <c r="B27" s="8" t="s">
        <v>152</v>
      </c>
      <c r="C27" t="s">
        <v>155</v>
      </c>
      <c r="D27" s="10"/>
      <c r="E27" s="9"/>
      <c r="F27" s="10"/>
      <c r="G27" s="10"/>
      <c r="H27" s="10"/>
      <c r="I27" s="2" t="s">
        <v>119</v>
      </c>
      <c r="J27" t="s">
        <v>75</v>
      </c>
      <c r="K27" t="s">
        <v>105</v>
      </c>
      <c r="L27" s="8" t="s">
        <v>227</v>
      </c>
      <c r="M27" s="7" t="s">
        <v>223</v>
      </c>
      <c r="N27" t="s">
        <v>221</v>
      </c>
      <c r="O27" s="7" t="s">
        <v>235</v>
      </c>
      <c r="P27" s="7" t="s">
        <v>223</v>
      </c>
      <c r="Q27" t="s">
        <v>242</v>
      </c>
      <c r="R27" t="s">
        <v>235</v>
      </c>
      <c r="S27" t="str">
        <f t="shared" si="3"/>
        <v>P(Extinct)</v>
      </c>
    </row>
    <row r="28" spans="1:19" x14ac:dyDescent="0.25">
      <c r="A28">
        <v>26</v>
      </c>
      <c r="B28" s="8" t="s">
        <v>143</v>
      </c>
      <c r="C28" t="s">
        <v>185</v>
      </c>
      <c r="D28" s="10" t="s">
        <v>66</v>
      </c>
      <c r="E28" s="9">
        <v>2014</v>
      </c>
      <c r="F28" s="10" t="s">
        <v>67</v>
      </c>
      <c r="G28" s="10" t="s">
        <v>68</v>
      </c>
      <c r="H28" s="10" t="s">
        <v>69</v>
      </c>
      <c r="I28" s="2" t="s">
        <v>119</v>
      </c>
      <c r="J28" t="s">
        <v>226</v>
      </c>
      <c r="K28" t="s">
        <v>105</v>
      </c>
      <c r="L28" s="8" t="s">
        <v>211</v>
      </c>
      <c r="M28" s="7" t="s">
        <v>223</v>
      </c>
      <c r="N28" s="7" t="s">
        <v>223</v>
      </c>
      <c r="O28" s="7" t="s">
        <v>235</v>
      </c>
      <c r="P28" s="7" t="s">
        <v>223</v>
      </c>
      <c r="Q28" t="s">
        <v>242</v>
      </c>
      <c r="R28" t="s">
        <v>235</v>
      </c>
      <c r="S28" t="str">
        <f t="shared" si="3"/>
        <v>P(Extinct)</v>
      </c>
    </row>
    <row r="29" spans="1:19" x14ac:dyDescent="0.25">
      <c r="A29">
        <v>27</v>
      </c>
      <c r="B29" s="8" t="s">
        <v>144</v>
      </c>
      <c r="C29" t="s">
        <v>145</v>
      </c>
      <c r="D29" s="10"/>
      <c r="E29" s="9"/>
      <c r="F29" s="10"/>
      <c r="G29" s="10"/>
      <c r="H29" s="10"/>
      <c r="I29" s="2" t="s">
        <v>163</v>
      </c>
      <c r="J29" t="s">
        <v>226</v>
      </c>
      <c r="K29" t="s">
        <v>105</v>
      </c>
      <c r="L29" s="8" t="s">
        <v>211</v>
      </c>
      <c r="M29" s="7" t="s">
        <v>223</v>
      </c>
      <c r="N29" s="7" t="s">
        <v>223</v>
      </c>
      <c r="O29" s="7" t="s">
        <v>235</v>
      </c>
      <c r="P29" s="7" t="s">
        <v>223</v>
      </c>
      <c r="Q29" s="7" t="s">
        <v>223</v>
      </c>
      <c r="R29" t="s">
        <v>235</v>
      </c>
      <c r="S29" s="7" t="s">
        <v>228</v>
      </c>
    </row>
    <row r="30" spans="1:19" x14ac:dyDescent="0.25">
      <c r="A30">
        <v>28</v>
      </c>
      <c r="B30" s="8" t="s">
        <v>148</v>
      </c>
      <c r="C30" t="s">
        <v>189</v>
      </c>
      <c r="D30" s="10" t="s">
        <v>55</v>
      </c>
      <c r="E30" s="9">
        <v>2014</v>
      </c>
      <c r="F30" s="10" t="s">
        <v>54</v>
      </c>
      <c r="G30" s="10" t="s">
        <v>56</v>
      </c>
      <c r="H30" s="10" t="s">
        <v>57</v>
      </c>
      <c r="I30" s="2" t="s">
        <v>119</v>
      </c>
      <c r="J30" t="s">
        <v>75</v>
      </c>
      <c r="K30" t="s">
        <v>105</v>
      </c>
      <c r="L30" s="8" t="s">
        <v>211</v>
      </c>
      <c r="M30" s="7" t="s">
        <v>223</v>
      </c>
      <c r="N30" s="7" t="s">
        <v>223</v>
      </c>
      <c r="O30" t="s">
        <v>238</v>
      </c>
      <c r="P30" t="s">
        <v>239</v>
      </c>
      <c r="Q30" t="s">
        <v>242</v>
      </c>
      <c r="R30" t="s">
        <v>235</v>
      </c>
      <c r="S30" t="str">
        <f t="shared" ref="S30:S34" si="4">Q30</f>
        <v>P(Extinct)</v>
      </c>
    </row>
    <row r="31" spans="1:19" x14ac:dyDescent="0.25">
      <c r="A31">
        <v>29</v>
      </c>
      <c r="B31" s="8" t="s">
        <v>188</v>
      </c>
      <c r="C31" t="s">
        <v>190</v>
      </c>
      <c r="D31" s="10"/>
      <c r="E31" s="9"/>
      <c r="F31" s="10"/>
      <c r="G31" s="10"/>
      <c r="H31" s="10"/>
      <c r="I31" s="2" t="s">
        <v>119</v>
      </c>
      <c r="J31" t="s">
        <v>75</v>
      </c>
      <c r="K31" t="s">
        <v>105</v>
      </c>
      <c r="L31" s="8" t="s">
        <v>211</v>
      </c>
      <c r="M31" s="7" t="s">
        <v>223</v>
      </c>
      <c r="N31" s="7" t="s">
        <v>223</v>
      </c>
      <c r="O31" t="s">
        <v>238</v>
      </c>
      <c r="P31" t="s">
        <v>239</v>
      </c>
      <c r="Q31" t="s">
        <v>242</v>
      </c>
      <c r="R31" t="s">
        <v>235</v>
      </c>
      <c r="S31" t="str">
        <f t="shared" si="4"/>
        <v>P(Extinct)</v>
      </c>
    </row>
    <row r="32" spans="1:19" x14ac:dyDescent="0.25">
      <c r="A32">
        <v>30</v>
      </c>
      <c r="B32" s="8" t="s">
        <v>170</v>
      </c>
      <c r="C32" t="s">
        <v>8</v>
      </c>
      <c r="D32" t="s">
        <v>77</v>
      </c>
      <c r="E32">
        <v>2014</v>
      </c>
      <c r="F32" t="s">
        <v>76</v>
      </c>
      <c r="G32" t="s">
        <v>78</v>
      </c>
      <c r="H32" t="s">
        <v>79</v>
      </c>
      <c r="I32" s="2" t="s">
        <v>119</v>
      </c>
      <c r="J32" t="s">
        <v>75</v>
      </c>
      <c r="K32" t="s">
        <v>207</v>
      </c>
      <c r="L32" s="8" t="s">
        <v>213</v>
      </c>
      <c r="M32" s="7" t="s">
        <v>223</v>
      </c>
      <c r="N32" t="s">
        <v>222</v>
      </c>
      <c r="O32" t="s">
        <v>238</v>
      </c>
      <c r="P32" t="s">
        <v>236</v>
      </c>
      <c r="Q32" t="s">
        <v>241</v>
      </c>
      <c r="R32" s="7" t="s">
        <v>228</v>
      </c>
      <c r="S32" t="str">
        <f t="shared" si="4"/>
        <v>P-value</v>
      </c>
    </row>
    <row r="33" spans="1:19" x14ac:dyDescent="0.25">
      <c r="A33">
        <v>31</v>
      </c>
      <c r="B33" s="8" t="s">
        <v>149</v>
      </c>
      <c r="C33" t="s">
        <v>191</v>
      </c>
      <c r="D33" t="s">
        <v>48</v>
      </c>
      <c r="E33">
        <v>2014</v>
      </c>
      <c r="F33" t="s">
        <v>47</v>
      </c>
      <c r="G33" t="s">
        <v>49</v>
      </c>
      <c r="H33" t="s">
        <v>50</v>
      </c>
      <c r="I33" s="2" t="s">
        <v>119</v>
      </c>
      <c r="J33" t="s">
        <v>75</v>
      </c>
      <c r="K33" t="s">
        <v>105</v>
      </c>
      <c r="L33" s="8" t="s">
        <v>214</v>
      </c>
      <c r="M33" t="s">
        <v>218</v>
      </c>
      <c r="N33" t="s">
        <v>222</v>
      </c>
      <c r="O33" s="7" t="s">
        <v>235</v>
      </c>
      <c r="P33" s="7" t="s">
        <v>223</v>
      </c>
      <c r="Q33" t="s">
        <v>242</v>
      </c>
      <c r="R33" t="s">
        <v>235</v>
      </c>
      <c r="S33" t="str">
        <f t="shared" si="4"/>
        <v>P(Extinct)</v>
      </c>
    </row>
    <row r="34" spans="1:19" x14ac:dyDescent="0.25">
      <c r="A34">
        <v>32</v>
      </c>
      <c r="B34" s="8" t="s">
        <v>150</v>
      </c>
      <c r="C34" t="s">
        <v>192</v>
      </c>
      <c r="D34" t="s">
        <v>85</v>
      </c>
      <c r="E34">
        <v>2014</v>
      </c>
      <c r="F34" t="s">
        <v>86</v>
      </c>
      <c r="G34" t="s">
        <v>38</v>
      </c>
      <c r="H34" t="s">
        <v>87</v>
      </c>
      <c r="I34" s="2" t="s">
        <v>119</v>
      </c>
      <c r="J34" t="s">
        <v>75</v>
      </c>
      <c r="K34" t="s">
        <v>105</v>
      </c>
      <c r="L34" s="8" t="s">
        <v>212</v>
      </c>
      <c r="M34" s="7" t="s">
        <v>223</v>
      </c>
      <c r="N34" t="s">
        <v>220</v>
      </c>
      <c r="O34" t="s">
        <v>238</v>
      </c>
      <c r="P34" t="s">
        <v>239</v>
      </c>
      <c r="Q34" t="s">
        <v>242</v>
      </c>
      <c r="R34" t="s">
        <v>235</v>
      </c>
      <c r="S34" t="str">
        <f t="shared" si="4"/>
        <v>P(Extinct)</v>
      </c>
    </row>
    <row r="35" spans="1:19" x14ac:dyDescent="0.25">
      <c r="A35">
        <v>33</v>
      </c>
      <c r="B35" s="8" t="s">
        <v>156</v>
      </c>
      <c r="C35" t="s">
        <v>102</v>
      </c>
      <c r="D35" s="10" t="s">
        <v>51</v>
      </c>
      <c r="E35" s="9">
        <v>2014</v>
      </c>
      <c r="F35" s="10" t="s">
        <v>52</v>
      </c>
      <c r="G35" s="10" t="s">
        <v>18</v>
      </c>
      <c r="H35" s="10" t="s">
        <v>53</v>
      </c>
      <c r="I35" s="2" t="s">
        <v>119</v>
      </c>
      <c r="J35" t="s">
        <v>75</v>
      </c>
      <c r="K35" t="s">
        <v>105</v>
      </c>
      <c r="L35" s="8" t="s">
        <v>212</v>
      </c>
      <c r="M35" s="7" t="s">
        <v>223</v>
      </c>
      <c r="N35" t="s">
        <v>220</v>
      </c>
      <c r="O35" s="7" t="s">
        <v>235</v>
      </c>
      <c r="P35" s="7" t="s">
        <v>223</v>
      </c>
      <c r="Q35" s="7" t="s">
        <v>223</v>
      </c>
      <c r="R35" t="s">
        <v>238</v>
      </c>
      <c r="S35" t="s">
        <v>243</v>
      </c>
    </row>
    <row r="36" spans="1:19" x14ac:dyDescent="0.25">
      <c r="A36">
        <v>34</v>
      </c>
      <c r="B36" s="8" t="s">
        <v>158</v>
      </c>
      <c r="C36" t="s">
        <v>103</v>
      </c>
      <c r="D36" s="10"/>
      <c r="E36" s="9"/>
      <c r="F36" s="10"/>
      <c r="G36" s="10"/>
      <c r="H36" s="10"/>
      <c r="I36" s="2" t="s">
        <v>119</v>
      </c>
      <c r="J36" t="s">
        <v>75</v>
      </c>
      <c r="K36" t="s">
        <v>105</v>
      </c>
      <c r="L36" s="8" t="s">
        <v>212</v>
      </c>
      <c r="M36" s="7" t="s">
        <v>223</v>
      </c>
      <c r="N36" t="s">
        <v>220</v>
      </c>
      <c r="O36" s="7" t="s">
        <v>235</v>
      </c>
      <c r="P36" s="7" t="s">
        <v>223</v>
      </c>
      <c r="Q36" s="7" t="s">
        <v>223</v>
      </c>
      <c r="R36" t="s">
        <v>238</v>
      </c>
      <c r="S36" t="s">
        <v>243</v>
      </c>
    </row>
    <row r="37" spans="1:19" x14ac:dyDescent="0.25">
      <c r="A37">
        <v>35</v>
      </c>
      <c r="B37" s="8" t="s">
        <v>157</v>
      </c>
      <c r="C37" t="s">
        <v>198</v>
      </c>
      <c r="D37" t="s">
        <v>66</v>
      </c>
      <c r="E37">
        <v>2015</v>
      </c>
      <c r="F37" t="s">
        <v>70</v>
      </c>
      <c r="G37" t="s">
        <v>71</v>
      </c>
      <c r="H37" t="s">
        <v>72</v>
      </c>
      <c r="I37" s="2" t="s">
        <v>119</v>
      </c>
      <c r="J37" t="s">
        <v>75</v>
      </c>
      <c r="K37" t="s">
        <v>105</v>
      </c>
      <c r="L37" s="8" t="s">
        <v>211</v>
      </c>
      <c r="M37" s="7" t="s">
        <v>223</v>
      </c>
      <c r="N37" s="7" t="s">
        <v>223</v>
      </c>
      <c r="O37" s="7" t="s">
        <v>235</v>
      </c>
      <c r="P37" s="7" t="s">
        <v>223</v>
      </c>
      <c r="Q37" t="s">
        <v>242</v>
      </c>
      <c r="R37" t="s">
        <v>235</v>
      </c>
      <c r="S37" t="str">
        <f t="shared" ref="S37:S39" si="5">Q37</f>
        <v>P(Extinct)</v>
      </c>
    </row>
    <row r="38" spans="1:19" x14ac:dyDescent="0.25">
      <c r="A38">
        <v>36</v>
      </c>
      <c r="B38" s="8" t="s">
        <v>146</v>
      </c>
      <c r="C38" t="s">
        <v>186</v>
      </c>
      <c r="D38" s="10" t="s">
        <v>8</v>
      </c>
      <c r="E38" s="9">
        <v>2016</v>
      </c>
      <c r="F38" s="10" t="s">
        <v>88</v>
      </c>
      <c r="G38" s="10" t="s">
        <v>75</v>
      </c>
      <c r="H38" s="10" t="s">
        <v>89</v>
      </c>
      <c r="I38" s="2" t="s">
        <v>119</v>
      </c>
      <c r="J38" t="s">
        <v>226</v>
      </c>
      <c r="K38" t="s">
        <v>105</v>
      </c>
      <c r="L38" s="8" t="s">
        <v>211</v>
      </c>
      <c r="M38" s="7" t="s">
        <v>223</v>
      </c>
      <c r="N38" s="7" t="s">
        <v>223</v>
      </c>
      <c r="O38" s="7" t="s">
        <v>235</v>
      </c>
      <c r="P38" s="7" t="s">
        <v>223</v>
      </c>
      <c r="Q38" t="s">
        <v>242</v>
      </c>
      <c r="R38" t="s">
        <v>235</v>
      </c>
      <c r="S38" t="str">
        <f t="shared" si="5"/>
        <v>P(Extinct)</v>
      </c>
    </row>
    <row r="39" spans="1:19" x14ac:dyDescent="0.25">
      <c r="A39">
        <v>37</v>
      </c>
      <c r="B39" s="8" t="s">
        <v>147</v>
      </c>
      <c r="C39" t="s">
        <v>187</v>
      </c>
      <c r="D39" s="10"/>
      <c r="E39" s="9"/>
      <c r="F39" s="10"/>
      <c r="G39" s="10"/>
      <c r="H39" s="10"/>
      <c r="I39" s="2" t="s">
        <v>119</v>
      </c>
      <c r="J39" t="s">
        <v>226</v>
      </c>
      <c r="K39" t="s">
        <v>105</v>
      </c>
      <c r="L39" s="8" t="s">
        <v>211</v>
      </c>
      <c r="M39" s="7" t="s">
        <v>223</v>
      </c>
      <c r="N39" s="7" t="s">
        <v>223</v>
      </c>
      <c r="O39" s="7" t="s">
        <v>235</v>
      </c>
      <c r="P39" s="7" t="s">
        <v>223</v>
      </c>
      <c r="Q39" t="s">
        <v>242</v>
      </c>
      <c r="R39" t="s">
        <v>235</v>
      </c>
      <c r="S39" t="str">
        <f t="shared" si="5"/>
        <v>P(Extinct)</v>
      </c>
    </row>
    <row r="40" spans="1:19" x14ac:dyDescent="0.25">
      <c r="A40">
        <v>38</v>
      </c>
      <c r="B40" s="8" t="s">
        <v>172</v>
      </c>
      <c r="C40" t="s">
        <v>193</v>
      </c>
      <c r="D40" t="s">
        <v>107</v>
      </c>
      <c r="E40">
        <v>2016</v>
      </c>
      <c r="F40" t="s">
        <v>106</v>
      </c>
      <c r="G40" t="s">
        <v>68</v>
      </c>
      <c r="H40" t="s">
        <v>108</v>
      </c>
      <c r="I40" s="2" t="s">
        <v>119</v>
      </c>
      <c r="J40" t="s">
        <v>226</v>
      </c>
      <c r="K40" t="s">
        <v>105</v>
      </c>
      <c r="L40" s="8" t="s">
        <v>209</v>
      </c>
      <c r="M40" s="7" t="s">
        <v>223</v>
      </c>
      <c r="N40" s="7" t="s">
        <v>223</v>
      </c>
      <c r="O40" t="s">
        <v>238</v>
      </c>
      <c r="P40" t="s">
        <v>239</v>
      </c>
      <c r="Q40" s="7" t="s">
        <v>223</v>
      </c>
      <c r="R40" t="s">
        <v>235</v>
      </c>
      <c r="S40" t="s">
        <v>240</v>
      </c>
    </row>
    <row r="41" spans="1:19" x14ac:dyDescent="0.25">
      <c r="A41">
        <v>39</v>
      </c>
      <c r="B41" s="8" t="s">
        <v>205</v>
      </c>
      <c r="C41" t="s">
        <v>194</v>
      </c>
      <c r="D41" t="s">
        <v>43</v>
      </c>
      <c r="E41">
        <v>2017</v>
      </c>
      <c r="F41" t="s">
        <v>92</v>
      </c>
      <c r="G41" t="s">
        <v>21</v>
      </c>
      <c r="H41" t="s">
        <v>93</v>
      </c>
      <c r="I41" s="2" t="s">
        <v>119</v>
      </c>
      <c r="J41" t="s">
        <v>75</v>
      </c>
      <c r="K41" t="s">
        <v>194</v>
      </c>
      <c r="L41" s="8" t="s">
        <v>214</v>
      </c>
      <c r="M41" t="s">
        <v>218</v>
      </c>
      <c r="N41" t="s">
        <v>222</v>
      </c>
      <c r="O41" s="7" t="s">
        <v>235</v>
      </c>
      <c r="P41" s="7" t="s">
        <v>223</v>
      </c>
      <c r="Q41" t="s">
        <v>242</v>
      </c>
      <c r="R41" s="7" t="s">
        <v>228</v>
      </c>
      <c r="S41" t="str">
        <f t="shared" ref="S41:S49" si="6">Q41</f>
        <v>P(Extinct)</v>
      </c>
    </row>
    <row r="42" spans="1:19" x14ac:dyDescent="0.25">
      <c r="A42">
        <v>40</v>
      </c>
      <c r="B42" s="8" t="s">
        <v>165</v>
      </c>
      <c r="C42" t="s">
        <v>8</v>
      </c>
      <c r="D42" s="10" t="s">
        <v>65</v>
      </c>
      <c r="E42" s="9">
        <v>2019</v>
      </c>
      <c r="F42" s="10" t="s">
        <v>73</v>
      </c>
      <c r="G42" s="10" t="s">
        <v>11</v>
      </c>
      <c r="H42" s="10" t="s">
        <v>74</v>
      </c>
      <c r="I42" s="2" t="s">
        <v>119</v>
      </c>
      <c r="J42" t="s">
        <v>75</v>
      </c>
      <c r="K42" t="s">
        <v>207</v>
      </c>
      <c r="L42" s="8" t="s">
        <v>213</v>
      </c>
      <c r="M42" s="7" t="s">
        <v>223</v>
      </c>
      <c r="N42" t="s">
        <v>222</v>
      </c>
      <c r="O42" t="s">
        <v>238</v>
      </c>
      <c r="P42" t="s">
        <v>236</v>
      </c>
      <c r="Q42" t="s">
        <v>242</v>
      </c>
      <c r="R42" s="7" t="s">
        <v>228</v>
      </c>
      <c r="S42" t="str">
        <f t="shared" si="6"/>
        <v>P(Extinct)</v>
      </c>
    </row>
    <row r="43" spans="1:19" x14ac:dyDescent="0.25">
      <c r="A43">
        <v>41</v>
      </c>
      <c r="B43" s="8" t="s">
        <v>171</v>
      </c>
      <c r="C43" t="s">
        <v>24</v>
      </c>
      <c r="D43" s="10"/>
      <c r="E43" s="9"/>
      <c r="F43" s="10"/>
      <c r="G43" s="10"/>
      <c r="H43" s="10"/>
      <c r="I43" s="2" t="s">
        <v>119</v>
      </c>
      <c r="J43" t="s">
        <v>75</v>
      </c>
      <c r="K43" t="s">
        <v>207</v>
      </c>
      <c r="L43" s="8" t="s">
        <v>213</v>
      </c>
      <c r="M43" s="7" t="s">
        <v>223</v>
      </c>
      <c r="N43" t="s">
        <v>222</v>
      </c>
      <c r="O43" t="s">
        <v>238</v>
      </c>
      <c r="P43" t="s">
        <v>236</v>
      </c>
      <c r="Q43" t="s">
        <v>242</v>
      </c>
      <c r="R43" s="7" t="s">
        <v>228</v>
      </c>
      <c r="S43" t="str">
        <f t="shared" si="6"/>
        <v>P(Extinct)</v>
      </c>
    </row>
    <row r="44" spans="1:19" x14ac:dyDescent="0.25">
      <c r="A44">
        <v>42</v>
      </c>
      <c r="B44" s="8" t="s">
        <v>200</v>
      </c>
      <c r="C44" t="s">
        <v>33</v>
      </c>
      <c r="D44" s="10"/>
      <c r="E44" s="9"/>
      <c r="F44" s="10"/>
      <c r="G44" s="10"/>
      <c r="H44" s="10"/>
      <c r="I44" s="2" t="s">
        <v>119</v>
      </c>
      <c r="J44" t="s">
        <v>75</v>
      </c>
      <c r="K44" t="s">
        <v>207</v>
      </c>
      <c r="L44" s="8" t="s">
        <v>213</v>
      </c>
      <c r="M44" s="7" t="s">
        <v>223</v>
      </c>
      <c r="N44" t="s">
        <v>222</v>
      </c>
      <c r="O44" t="s">
        <v>238</v>
      </c>
      <c r="P44" t="s">
        <v>236</v>
      </c>
      <c r="Q44" t="s">
        <v>242</v>
      </c>
      <c r="R44" s="7" t="s">
        <v>228</v>
      </c>
      <c r="S44" t="str">
        <f t="shared" si="6"/>
        <v>P(Extinct)</v>
      </c>
    </row>
    <row r="45" spans="1:19" x14ac:dyDescent="0.25">
      <c r="A45">
        <v>43</v>
      </c>
      <c r="B45" s="8" t="s">
        <v>201</v>
      </c>
      <c r="C45" t="s">
        <v>203</v>
      </c>
      <c r="D45" s="10"/>
      <c r="E45" s="9"/>
      <c r="F45" s="10"/>
      <c r="G45" s="10"/>
      <c r="H45" s="10"/>
      <c r="I45" s="2" t="s">
        <v>119</v>
      </c>
      <c r="J45" t="s">
        <v>75</v>
      </c>
      <c r="K45" t="s">
        <v>207</v>
      </c>
      <c r="L45" s="8" t="s">
        <v>213</v>
      </c>
      <c r="M45" s="7" t="s">
        <v>223</v>
      </c>
      <c r="N45" t="s">
        <v>222</v>
      </c>
      <c r="O45" t="s">
        <v>238</v>
      </c>
      <c r="P45" t="s">
        <v>236</v>
      </c>
      <c r="Q45" t="s">
        <v>242</v>
      </c>
      <c r="R45" s="7" t="s">
        <v>228</v>
      </c>
      <c r="S45" t="str">
        <f t="shared" si="6"/>
        <v>P(Extinct)</v>
      </c>
    </row>
    <row r="46" spans="1:19" x14ac:dyDescent="0.25">
      <c r="A46">
        <v>44</v>
      </c>
      <c r="B46" s="8" t="s">
        <v>202</v>
      </c>
      <c r="C46" t="s">
        <v>204</v>
      </c>
      <c r="D46" s="10"/>
      <c r="E46" s="9"/>
      <c r="F46" s="10"/>
      <c r="G46" s="10"/>
      <c r="H46" s="10"/>
      <c r="I46" s="2" t="s">
        <v>119</v>
      </c>
      <c r="J46" t="s">
        <v>75</v>
      </c>
      <c r="K46" t="s">
        <v>207</v>
      </c>
      <c r="L46" s="8" t="s">
        <v>213</v>
      </c>
      <c r="M46" s="7" t="s">
        <v>223</v>
      </c>
      <c r="N46" t="s">
        <v>222</v>
      </c>
      <c r="O46" t="s">
        <v>238</v>
      </c>
      <c r="P46" t="s">
        <v>236</v>
      </c>
      <c r="Q46" t="s">
        <v>242</v>
      </c>
      <c r="R46" s="7" t="s">
        <v>228</v>
      </c>
      <c r="S46" t="str">
        <f t="shared" si="6"/>
        <v>P(Extinct)</v>
      </c>
    </row>
    <row r="47" spans="1:19" x14ac:dyDescent="0.25">
      <c r="A47">
        <v>45</v>
      </c>
      <c r="B47" s="8" t="s">
        <v>138</v>
      </c>
      <c r="C47" t="s">
        <v>195</v>
      </c>
      <c r="D47" t="s">
        <v>43</v>
      </c>
      <c r="E47">
        <v>2019</v>
      </c>
      <c r="F47" t="s">
        <v>90</v>
      </c>
      <c r="G47" t="s">
        <v>21</v>
      </c>
      <c r="H47" t="s">
        <v>91</v>
      </c>
      <c r="I47" s="2" t="s">
        <v>119</v>
      </c>
      <c r="J47" t="s">
        <v>75</v>
      </c>
      <c r="K47" t="s">
        <v>105</v>
      </c>
      <c r="L47" s="8" t="s">
        <v>214</v>
      </c>
      <c r="M47" t="s">
        <v>218</v>
      </c>
      <c r="N47" t="s">
        <v>222</v>
      </c>
      <c r="O47" s="7" t="s">
        <v>235</v>
      </c>
      <c r="P47" s="7" t="s">
        <v>223</v>
      </c>
      <c r="Q47" t="s">
        <v>242</v>
      </c>
      <c r="R47" t="s">
        <v>238</v>
      </c>
      <c r="S47" t="str">
        <f t="shared" si="6"/>
        <v>P(Extinct)</v>
      </c>
    </row>
    <row r="48" spans="1:19" x14ac:dyDescent="0.25">
      <c r="A48">
        <v>46</v>
      </c>
      <c r="B48" s="8" t="s">
        <v>136</v>
      </c>
      <c r="C48" t="s">
        <v>196</v>
      </c>
      <c r="D48" s="10" t="s">
        <v>80</v>
      </c>
      <c r="E48" s="9">
        <v>2020</v>
      </c>
      <c r="F48" s="10" t="s">
        <v>81</v>
      </c>
      <c r="G48" s="10" t="s">
        <v>49</v>
      </c>
      <c r="H48" s="10" t="s">
        <v>82</v>
      </c>
      <c r="I48" s="2" t="s">
        <v>119</v>
      </c>
      <c r="J48" t="s">
        <v>75</v>
      </c>
      <c r="K48" t="s">
        <v>105</v>
      </c>
      <c r="L48" s="8" t="s">
        <v>211</v>
      </c>
      <c r="M48" s="7" t="s">
        <v>223</v>
      </c>
      <c r="N48" s="7" t="s">
        <v>223</v>
      </c>
      <c r="O48" t="s">
        <v>238</v>
      </c>
      <c r="P48" t="s">
        <v>239</v>
      </c>
      <c r="Q48" t="s">
        <v>242</v>
      </c>
      <c r="R48" t="s">
        <v>235</v>
      </c>
      <c r="S48" t="str">
        <f t="shared" si="6"/>
        <v>P(Extinct)</v>
      </c>
    </row>
    <row r="49" spans="1:19" x14ac:dyDescent="0.25">
      <c r="A49">
        <v>47</v>
      </c>
      <c r="B49" s="8" t="s">
        <v>173</v>
      </c>
      <c r="C49" t="s">
        <v>184</v>
      </c>
      <c r="D49" s="10"/>
      <c r="E49" s="9"/>
      <c r="F49" s="10"/>
      <c r="G49" s="10"/>
      <c r="H49" s="10"/>
      <c r="I49" s="2" t="s">
        <v>119</v>
      </c>
      <c r="J49" t="s">
        <v>75</v>
      </c>
      <c r="K49" t="s">
        <v>105</v>
      </c>
      <c r="L49" s="8" t="s">
        <v>212</v>
      </c>
      <c r="M49" s="7" t="s">
        <v>223</v>
      </c>
      <c r="N49" t="s">
        <v>220</v>
      </c>
      <c r="O49" t="s">
        <v>238</v>
      </c>
      <c r="P49" t="s">
        <v>239</v>
      </c>
      <c r="Q49" t="s">
        <v>242</v>
      </c>
      <c r="R49" t="s">
        <v>235</v>
      </c>
      <c r="S49" t="str">
        <f t="shared" si="6"/>
        <v>P(Extinct)</v>
      </c>
    </row>
    <row r="50" spans="1:19" x14ac:dyDescent="0.25">
      <c r="A50">
        <v>48</v>
      </c>
      <c r="B50" s="8" t="s">
        <v>137</v>
      </c>
      <c r="C50" t="s">
        <v>197</v>
      </c>
      <c r="D50" t="s">
        <v>80</v>
      </c>
      <c r="E50">
        <v>2021</v>
      </c>
      <c r="F50" t="s">
        <v>83</v>
      </c>
      <c r="G50" t="s">
        <v>49</v>
      </c>
      <c r="H50" t="s">
        <v>84</v>
      </c>
      <c r="I50" s="2" t="s">
        <v>119</v>
      </c>
      <c r="J50" t="s">
        <v>75</v>
      </c>
      <c r="K50" t="s">
        <v>105</v>
      </c>
      <c r="L50" s="8" t="s">
        <v>212</v>
      </c>
      <c r="M50" s="7" t="s">
        <v>223</v>
      </c>
      <c r="N50" t="s">
        <v>220</v>
      </c>
      <c r="O50" t="s">
        <v>238</v>
      </c>
      <c r="P50" t="s">
        <v>239</v>
      </c>
      <c r="Q50" t="s">
        <v>242</v>
      </c>
      <c r="R50" t="s">
        <v>235</v>
      </c>
      <c r="S50" t="str">
        <f>Q50</f>
        <v>P(Extinct)</v>
      </c>
    </row>
    <row r="52" spans="1:19" x14ac:dyDescent="0.25">
      <c r="H52" s="3"/>
      <c r="I52" s="4"/>
      <c r="J52" s="4"/>
    </row>
    <row r="53" spans="1:19" x14ac:dyDescent="0.25">
      <c r="H53" s="3"/>
      <c r="I53" s="4"/>
      <c r="J53" s="4"/>
    </row>
    <row r="54" spans="1:19" x14ac:dyDescent="0.25">
      <c r="H54" s="3"/>
      <c r="I54" s="1"/>
      <c r="J54" s="1"/>
    </row>
  </sheetData>
  <mergeCells count="58">
    <mergeCell ref="O1:S1"/>
    <mergeCell ref="L1:N1"/>
    <mergeCell ref="G48:G49"/>
    <mergeCell ref="H48:H49"/>
    <mergeCell ref="F48:F49"/>
    <mergeCell ref="G42:G46"/>
    <mergeCell ref="H42:H46"/>
    <mergeCell ref="F30:F31"/>
    <mergeCell ref="H25:H27"/>
    <mergeCell ref="H28:H29"/>
    <mergeCell ref="H38:H39"/>
    <mergeCell ref="H30:H31"/>
    <mergeCell ref="G30:G31"/>
    <mergeCell ref="H35:H36"/>
    <mergeCell ref="G28:G29"/>
    <mergeCell ref="G25:G27"/>
    <mergeCell ref="D48:D49"/>
    <mergeCell ref="E48:E49"/>
    <mergeCell ref="D42:D46"/>
    <mergeCell ref="E42:E46"/>
    <mergeCell ref="F42:F46"/>
    <mergeCell ref="D35:D36"/>
    <mergeCell ref="E35:E36"/>
    <mergeCell ref="F35:F36"/>
    <mergeCell ref="G35:G36"/>
    <mergeCell ref="D38:D39"/>
    <mergeCell ref="E38:E39"/>
    <mergeCell ref="F38:F39"/>
    <mergeCell ref="G38:G39"/>
    <mergeCell ref="D1:H1"/>
    <mergeCell ref="G4:G5"/>
    <mergeCell ref="H4:H5"/>
    <mergeCell ref="H10:H12"/>
    <mergeCell ref="D10:D12"/>
    <mergeCell ref="E10:E12"/>
    <mergeCell ref="H6:H7"/>
    <mergeCell ref="F6:F7"/>
    <mergeCell ref="G6:G7"/>
    <mergeCell ref="D6:D7"/>
    <mergeCell ref="E4:E5"/>
    <mergeCell ref="F4:F5"/>
    <mergeCell ref="D4:D5"/>
    <mergeCell ref="F10:F12"/>
    <mergeCell ref="G10:G12"/>
    <mergeCell ref="E6:E7"/>
    <mergeCell ref="F21:F22"/>
    <mergeCell ref="G21:G22"/>
    <mergeCell ref="D21:D22"/>
    <mergeCell ref="E21:E22"/>
    <mergeCell ref="H21:H22"/>
    <mergeCell ref="E30:E31"/>
    <mergeCell ref="D30:D31"/>
    <mergeCell ref="E25:E27"/>
    <mergeCell ref="F25:F27"/>
    <mergeCell ref="D25:D27"/>
    <mergeCell ref="F28:F29"/>
    <mergeCell ref="D28:D29"/>
    <mergeCell ref="E28:E29"/>
  </mergeCells>
  <phoneticPr fontId="3" type="noConversion"/>
  <printOptions gridLines="1"/>
  <pageMargins left="0.70866141732283472" right="0.70866141732283472" top="0.74803149606299213" bottom="0.74803149606299213" header="0.31496062992125984" footer="0.31496062992125984"/>
  <pageSetup paperSize="8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True EDEs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Backstrom</dc:creator>
  <cp:lastModifiedBy>Louis Backstrom</cp:lastModifiedBy>
  <cp:lastPrinted>2026-01-08T12:15:21Z</cp:lastPrinted>
  <dcterms:created xsi:type="dcterms:W3CDTF">2015-06-05T18:17:20Z</dcterms:created>
  <dcterms:modified xsi:type="dcterms:W3CDTF">2026-06-19T10:04:09Z</dcterms:modified>
</cp:coreProperties>
</file>