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ljb38_st-andrews_ac_uk/Documents/Documents/GitHub/ExtinctionReview/Data/"/>
    </mc:Choice>
  </mc:AlternateContent>
  <xr:revisionPtr revIDLastSave="6" documentId="8_{784E10D6-0E79-4D20-8780-F95596C2D2AE}" xr6:coauthVersionLast="47" xr6:coauthVersionMax="47" xr10:uidLastSave="{AD425F26-2095-42ED-9D79-983AA3328E6D}"/>
  <bookViews>
    <workbookView xWindow="-120" yWindow="-120" windowWidth="29040" windowHeight="15720" activeTab="1" xr2:uid="{DE8C4232-D69E-45E1-A46C-5CB0D1CE9281}"/>
  </bookViews>
  <sheets>
    <sheet name="Records" sheetId="1" r:id="rId1"/>
    <sheet name="Survey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2" l="1"/>
  <c r="F11" i="2"/>
  <c r="C11" i="2"/>
  <c r="I10" i="2"/>
  <c r="F10" i="2"/>
  <c r="C10" i="2"/>
  <c r="I9" i="2"/>
  <c r="F9" i="2"/>
  <c r="C9" i="2"/>
  <c r="I8" i="2"/>
  <c r="F8" i="2"/>
  <c r="C8" i="2"/>
  <c r="I7" i="2"/>
  <c r="F7" i="2"/>
  <c r="C7" i="2"/>
  <c r="I6" i="2"/>
  <c r="F6" i="2"/>
  <c r="C6" i="2"/>
  <c r="I5" i="2"/>
  <c r="F5" i="2"/>
  <c r="C5" i="2"/>
  <c r="I4" i="2"/>
  <c r="F4" i="2"/>
  <c r="C4" i="2"/>
  <c r="I3" i="2"/>
  <c r="F3" i="2"/>
  <c r="C3" i="2"/>
  <c r="I2" i="2"/>
  <c r="F2" i="2"/>
  <c r="C2" i="2"/>
  <c r="W2" i="2"/>
  <c r="T2" i="2"/>
  <c r="Q2" i="2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<sst xmlns="http://schemas.openxmlformats.org/spreadsheetml/2006/main" count="25" uniqueCount="14">
  <si>
    <t>Year</t>
  </si>
  <si>
    <t>P(CI) Lower</t>
  </si>
  <si>
    <t>P(CI) Est</t>
  </si>
  <si>
    <t>P(CI) Upper</t>
  </si>
  <si>
    <t>EPS Lower</t>
  </si>
  <si>
    <t>EPS Est</t>
  </si>
  <si>
    <t>EPS Upper</t>
  </si>
  <si>
    <t>PI Lower</t>
  </si>
  <si>
    <t>PI Est</t>
  </si>
  <si>
    <t>PI Upper</t>
  </si>
  <si>
    <t>PR Lower</t>
  </si>
  <si>
    <t>PR Est</t>
  </si>
  <si>
    <t>PR Upper</t>
  </si>
  <si>
    <t>Passive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</si>
</sst>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2DF1-F5E1-4E7A-974A-37AEA728FEDF}">
  <dimension ref="A1:D12"/>
  <sheetViews>
    <sheetView workbookViewId="0">
      <selection activeCell="D12" sqref="D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1929</v>
      </c>
      <c r="B2">
        <v>0.99</v>
      </c>
      <c r="C2">
        <f>AVERAGE(B2, D2)</f>
        <v>0.995</v>
      </c>
      <c r="D2">
        <v>1</v>
      </c>
    </row>
    <row r="3" spans="1:4" x14ac:dyDescent="0.25">
      <c r="A3">
        <v>1960</v>
      </c>
      <c r="B3">
        <v>0.95</v>
      </c>
      <c r="C3">
        <f t="shared" ref="C3:C12" si="0">AVERAGE(B3, D3)</f>
        <v>0.97</v>
      </c>
      <c r="D3">
        <v>0.99</v>
      </c>
    </row>
    <row r="4" spans="1:4" x14ac:dyDescent="0.25">
      <c r="A4">
        <v>1963</v>
      </c>
      <c r="B4">
        <v>0.75</v>
      </c>
      <c r="C4">
        <f t="shared" si="0"/>
        <v>0.84499999999999997</v>
      </c>
      <c r="D4">
        <v>0.94</v>
      </c>
    </row>
    <row r="5" spans="1:4" x14ac:dyDescent="0.25">
      <c r="A5">
        <v>1969</v>
      </c>
      <c r="B5">
        <v>0.75</v>
      </c>
      <c r="C5">
        <f t="shared" si="0"/>
        <v>0.84499999999999997</v>
      </c>
      <c r="D5">
        <v>0.94</v>
      </c>
    </row>
    <row r="6" spans="1:4" x14ac:dyDescent="0.25">
      <c r="A6">
        <v>1970</v>
      </c>
      <c r="B6">
        <v>0.1</v>
      </c>
      <c r="C6">
        <f t="shared" si="0"/>
        <v>0.25</v>
      </c>
      <c r="D6">
        <v>0.4</v>
      </c>
    </row>
    <row r="7" spans="1:4" x14ac:dyDescent="0.25">
      <c r="A7">
        <v>1971</v>
      </c>
      <c r="B7">
        <v>0.1</v>
      </c>
      <c r="C7">
        <f t="shared" si="0"/>
        <v>0.25</v>
      </c>
      <c r="D7">
        <v>0.4</v>
      </c>
    </row>
    <row r="8" spans="1:4" x14ac:dyDescent="0.25">
      <c r="A8">
        <v>1972</v>
      </c>
      <c r="B8">
        <v>0.6</v>
      </c>
      <c r="C8">
        <f t="shared" si="0"/>
        <v>0.7</v>
      </c>
      <c r="D8">
        <v>0.8</v>
      </c>
    </row>
    <row r="9" spans="1:4" x14ac:dyDescent="0.25">
      <c r="A9">
        <v>1982</v>
      </c>
      <c r="B9">
        <v>0.6</v>
      </c>
      <c r="C9">
        <f t="shared" si="0"/>
        <v>0.7</v>
      </c>
      <c r="D9">
        <v>0.8</v>
      </c>
    </row>
    <row r="10" spans="1:4" x14ac:dyDescent="0.25">
      <c r="A10">
        <v>1985</v>
      </c>
      <c r="B10">
        <v>0.2</v>
      </c>
      <c r="C10">
        <f t="shared" si="0"/>
        <v>0.5</v>
      </c>
      <c r="D10">
        <v>0.8</v>
      </c>
    </row>
    <row r="11" spans="1:4" x14ac:dyDescent="0.25">
      <c r="A11">
        <v>1986</v>
      </c>
      <c r="B11">
        <v>0.2</v>
      </c>
      <c r="C11">
        <f t="shared" si="0"/>
        <v>0.44999999999999996</v>
      </c>
      <c r="D11">
        <v>0.7</v>
      </c>
    </row>
    <row r="12" spans="1:4" x14ac:dyDescent="0.25">
      <c r="A12">
        <v>1988</v>
      </c>
      <c r="B12">
        <v>0.2</v>
      </c>
      <c r="C12">
        <f t="shared" si="0"/>
        <v>0.35</v>
      </c>
      <c r="D12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E6C3-060B-4BC1-A277-C5601D76CB19}">
  <dimension ref="A1:X11"/>
  <sheetViews>
    <sheetView tabSelected="1" workbookViewId="0">
      <selection activeCell="V4" sqref="V4"/>
    </sheetView>
  </sheetViews>
  <sheetFormatPr defaultRowHeight="15" x14ac:dyDescent="0.25"/>
  <sheetData>
    <row r="1" spans="1:24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O1" t="s">
        <v>0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</row>
    <row r="2" spans="1:24" x14ac:dyDescent="0.25">
      <c r="A2">
        <v>1989</v>
      </c>
      <c r="B2">
        <v>0.8</v>
      </c>
      <c r="C2">
        <f t="shared" ref="C2:C11" si="0">AVERAGE(B2, D2)</f>
        <v>0.875</v>
      </c>
      <c r="D2">
        <v>0.95</v>
      </c>
      <c r="E2">
        <v>0.9</v>
      </c>
      <c r="F2">
        <f t="shared" ref="F2:F11" si="1">AVERAGE(E2, G2)</f>
        <v>0.92500000000000004</v>
      </c>
      <c r="G2">
        <v>0.95</v>
      </c>
      <c r="H2">
        <v>0.7</v>
      </c>
      <c r="I2">
        <f t="shared" ref="I2:I11" si="2">AVERAGE(H2, J2)</f>
        <v>0.8</v>
      </c>
      <c r="J2">
        <v>0.9</v>
      </c>
      <c r="O2" t="s">
        <v>13</v>
      </c>
      <c r="P2">
        <v>0</v>
      </c>
      <c r="Q2">
        <f>AVERAGE(P2, R2)</f>
        <v>2.5000000000000001E-2</v>
      </c>
      <c r="R2">
        <v>0.05</v>
      </c>
      <c r="S2">
        <v>0.1</v>
      </c>
      <c r="T2">
        <f>AVERAGE(S2, U2)</f>
        <v>0.375</v>
      </c>
      <c r="U2">
        <v>0.65</v>
      </c>
      <c r="V2">
        <v>0.4</v>
      </c>
      <c r="W2">
        <f>AVERAGE(V2, X2)</f>
        <v>0.5</v>
      </c>
      <c r="X2">
        <v>0.6</v>
      </c>
    </row>
    <row r="3" spans="1:24" x14ac:dyDescent="0.25">
      <c r="A3">
        <v>1990</v>
      </c>
      <c r="B3">
        <v>0.8</v>
      </c>
      <c r="C3">
        <f t="shared" si="0"/>
        <v>0.875</v>
      </c>
      <c r="D3">
        <v>0.95</v>
      </c>
      <c r="E3">
        <v>0.9</v>
      </c>
      <c r="F3">
        <f t="shared" si="1"/>
        <v>0.92500000000000004</v>
      </c>
      <c r="G3">
        <v>0.95</v>
      </c>
      <c r="H3">
        <v>0.7</v>
      </c>
      <c r="I3">
        <f t="shared" si="2"/>
        <v>0.8</v>
      </c>
      <c r="J3">
        <v>0.9</v>
      </c>
    </row>
    <row r="4" spans="1:24" x14ac:dyDescent="0.25">
      <c r="A4">
        <v>1993</v>
      </c>
      <c r="B4">
        <v>0.8</v>
      </c>
      <c r="C4">
        <f t="shared" si="0"/>
        <v>0.875</v>
      </c>
      <c r="D4">
        <v>0.95</v>
      </c>
      <c r="E4">
        <v>0.9</v>
      </c>
      <c r="F4">
        <f t="shared" si="1"/>
        <v>0.92500000000000004</v>
      </c>
      <c r="G4">
        <v>0.95</v>
      </c>
      <c r="H4">
        <v>0.7</v>
      </c>
      <c r="I4">
        <f t="shared" si="2"/>
        <v>0.8</v>
      </c>
      <c r="J4">
        <v>0.9</v>
      </c>
    </row>
    <row r="5" spans="1:24" x14ac:dyDescent="0.25">
      <c r="A5">
        <v>1994</v>
      </c>
      <c r="B5">
        <v>0.8</v>
      </c>
      <c r="C5">
        <f t="shared" si="0"/>
        <v>0.875</v>
      </c>
      <c r="D5">
        <v>0.95</v>
      </c>
      <c r="E5">
        <v>0.9</v>
      </c>
      <c r="F5">
        <f t="shared" si="1"/>
        <v>0.92500000000000004</v>
      </c>
      <c r="G5">
        <v>0.95</v>
      </c>
      <c r="H5">
        <v>0.7</v>
      </c>
      <c r="I5">
        <f t="shared" si="2"/>
        <v>0.8</v>
      </c>
      <c r="J5">
        <v>0.9</v>
      </c>
    </row>
    <row r="6" spans="1:24" x14ac:dyDescent="0.25">
      <c r="A6">
        <v>1997</v>
      </c>
      <c r="B6">
        <v>0.8</v>
      </c>
      <c r="C6">
        <f t="shared" si="0"/>
        <v>0.875</v>
      </c>
      <c r="D6">
        <v>0.95</v>
      </c>
      <c r="E6">
        <v>0.9</v>
      </c>
      <c r="F6">
        <f t="shared" si="1"/>
        <v>0.92500000000000004</v>
      </c>
      <c r="G6">
        <v>0.95</v>
      </c>
      <c r="H6">
        <v>0.7</v>
      </c>
      <c r="I6">
        <f t="shared" si="2"/>
        <v>0.8</v>
      </c>
      <c r="J6">
        <v>0.9</v>
      </c>
    </row>
    <row r="7" spans="1:24" x14ac:dyDescent="0.25">
      <c r="A7">
        <v>1998</v>
      </c>
      <c r="B7">
        <v>0.8</v>
      </c>
      <c r="C7">
        <f t="shared" si="0"/>
        <v>0.875</v>
      </c>
      <c r="D7">
        <v>0.95</v>
      </c>
      <c r="E7">
        <v>0.9</v>
      </c>
      <c r="F7">
        <f t="shared" si="1"/>
        <v>0.92500000000000004</v>
      </c>
      <c r="G7">
        <v>0.95</v>
      </c>
      <c r="H7">
        <v>0.7</v>
      </c>
      <c r="I7">
        <f t="shared" si="2"/>
        <v>0.8</v>
      </c>
      <c r="J7">
        <v>0.9</v>
      </c>
    </row>
    <row r="8" spans="1:24" x14ac:dyDescent="0.25">
      <c r="A8">
        <v>1999</v>
      </c>
      <c r="B8">
        <v>0.8</v>
      </c>
      <c r="C8">
        <f t="shared" si="0"/>
        <v>0.875</v>
      </c>
      <c r="D8">
        <v>0.95</v>
      </c>
      <c r="E8">
        <v>0.9</v>
      </c>
      <c r="F8">
        <f t="shared" si="1"/>
        <v>0.92500000000000004</v>
      </c>
      <c r="G8">
        <v>0.95</v>
      </c>
      <c r="H8">
        <v>0.7</v>
      </c>
      <c r="I8">
        <f t="shared" si="2"/>
        <v>0.8</v>
      </c>
      <c r="J8">
        <v>0.9</v>
      </c>
    </row>
    <row r="9" spans="1:24" x14ac:dyDescent="0.25">
      <c r="A9">
        <v>2000</v>
      </c>
      <c r="B9">
        <v>0.7</v>
      </c>
      <c r="C9">
        <f t="shared" si="0"/>
        <v>0.8</v>
      </c>
      <c r="D9">
        <v>0.9</v>
      </c>
      <c r="E9">
        <v>0.9</v>
      </c>
      <c r="F9">
        <f t="shared" si="1"/>
        <v>0.92500000000000004</v>
      </c>
      <c r="G9">
        <v>0.95</v>
      </c>
      <c r="H9">
        <v>0.7</v>
      </c>
      <c r="I9">
        <f t="shared" si="2"/>
        <v>0.8</v>
      </c>
      <c r="J9">
        <v>0.9</v>
      </c>
    </row>
    <row r="10" spans="1:24" x14ac:dyDescent="0.25">
      <c r="A10">
        <v>2004</v>
      </c>
      <c r="B10">
        <v>0.8</v>
      </c>
      <c r="C10">
        <f t="shared" si="0"/>
        <v>0.875</v>
      </c>
      <c r="D10">
        <v>0.95</v>
      </c>
      <c r="E10">
        <v>0.9</v>
      </c>
      <c r="F10">
        <f t="shared" si="1"/>
        <v>0.92500000000000004</v>
      </c>
      <c r="G10">
        <v>0.95</v>
      </c>
      <c r="H10">
        <v>0.7</v>
      </c>
      <c r="I10">
        <f t="shared" si="2"/>
        <v>0.8</v>
      </c>
      <c r="J10">
        <v>0.9</v>
      </c>
    </row>
    <row r="11" spans="1:24" x14ac:dyDescent="0.25">
      <c r="A11">
        <v>2009</v>
      </c>
      <c r="B11">
        <v>0.8</v>
      </c>
      <c r="C11">
        <f t="shared" si="0"/>
        <v>0.875</v>
      </c>
      <c r="D11">
        <v>0.95</v>
      </c>
      <c r="E11">
        <v>0.9</v>
      </c>
      <c r="F11">
        <f t="shared" si="1"/>
        <v>0.92500000000000004</v>
      </c>
      <c r="G11">
        <v>0.95</v>
      </c>
      <c r="H11">
        <v>0.7</v>
      </c>
      <c r="I11">
        <f t="shared" si="2"/>
        <v>0.8</v>
      </c>
      <c r="J1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Surveys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Backstrom</dc:creator>
  <cp:lastModifiedBy>Louis Backstrom</cp:lastModifiedBy>
  <dcterms:created xsi:type="dcterms:W3CDTF">2026-05-20T16:49:34Z</dcterms:created>
  <dcterms:modified xsi:type="dcterms:W3CDTF">2026-05-20T16:58:34Z</dcterms:modified>
</cp:coreProperties>
</file>